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p &quot;#,##0;[Red]&quot;-Rp &quot;#,##0;&quot;-&quot;"/>
    <numFmt numFmtId="165" formatCode="0.0%"/>
    <numFmt numFmtId="166" formatCode="&quot;Rp &quot;#,##0"/>
  </numFmts>
  <fonts count="9">
    <font>
      <name val="Calibri"/>
      <family val="2"/>
      <color theme="1"/>
      <sz val="11"/>
      <scheme val="minor"/>
    </font>
    <font>
      <name val="Arial"/>
      <b val="1"/>
      <color rgb="00FAFAF7"/>
      <sz val="11"/>
    </font>
    <font>
      <name val="Arial"/>
      <sz val="10.5"/>
    </font>
    <font>
      <name val="Arial"/>
      <b val="1"/>
      <color rgb="001C1917"/>
      <sz val="16"/>
    </font>
    <font>
      <name val="Arial"/>
      <i val="1"/>
      <color rgb="0078716C"/>
      <sz val="10"/>
    </font>
    <font>
      <name val="Arial"/>
      <color rgb="0044403C"/>
      <sz val="11"/>
    </font>
    <font>
      <name val="Arial"/>
      <b val="1"/>
      <color rgb="001C1917"/>
      <sz val="12"/>
    </font>
    <font>
      <name val="Arial"/>
      <b val="1"/>
      <color rgb="00C2410C"/>
      <sz val="11"/>
    </font>
    <font>
      <name val="Arial"/>
      <b val="1"/>
      <color rgb="00C2410C"/>
      <sz val="14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7" fillId="0" borderId="1" pivotButton="0" quotePrefix="0" xfId="0"/>
    <xf numFmtId="0" fontId="0" fillId="0" borderId="1" pivotButton="0" quotePrefix="0" xfId="0"/>
    <xf numFmtId="166" fontId="8" fillId="0" borderId="1" pivotButton="0" quotePrefix="0" xfId="0"/>
  </cellXfs>
  <cellStyles count="1">
    <cellStyle name="Normal" xfId="0" builtinId="0" hidden="0"/>
  </cellStyles>
  <dxfs count="6">
    <dxf>
      <font>
        <name val="Arial"/>
        <b val="1"/>
        <color rgb="0015803D"/>
        <sz val="10.5"/>
      </font>
      <fill>
        <patternFill patternType="solid">
          <fgColor rgb="00DCFCE7"/>
        </patternFill>
      </fill>
    </dxf>
    <dxf>
      <font>
        <name val="Arial"/>
        <b val="1"/>
        <color rgb="00DC2626"/>
        <sz val="10.5"/>
      </font>
      <fill>
        <patternFill patternType="solid">
          <fgColor rgb="00FEE2E2"/>
        </patternFill>
      </fill>
    </dxf>
    <dxf>
      <font>
        <name val="Arial"/>
        <b val="1"/>
        <color rgb="00D97706"/>
        <sz val="10.5"/>
      </font>
      <fill>
        <patternFill patternType="solid">
          <fgColor rgb="00FEF3C7"/>
        </patternFill>
      </fill>
    </dxf>
    <dxf>
      <font>
        <name val="Arial"/>
        <b val="1"/>
        <color rgb="002563EB"/>
        <sz val="10.5"/>
      </font>
      <fill>
        <patternFill patternType="solid">
          <fgColor rgb="00DBEAFE"/>
        </patternFill>
      </fill>
    </dxf>
    <dxf>
      <font>
        <name val="Arial"/>
        <b val="1"/>
        <color rgb="007C3AED"/>
        <sz val="10.5"/>
      </font>
      <fill>
        <patternFill patternType="solid">
          <fgColor rgb="00EDE9FE"/>
        </patternFill>
      </fill>
    </dxf>
    <dxf>
      <font>
        <name val="Arial"/>
        <b val="1"/>
        <color rgb="0044403C"/>
        <sz val="10.5"/>
      </font>
      <fill>
        <patternFill patternType="solid">
          <fgColor rgb="00F5F4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38" customWidth="1" min="4" max="4"/>
    <col width="24" customWidth="1" min="5" max="5"/>
    <col width="14" customWidth="1" min="6" max="6"/>
    <col width="18" customWidth="1" min="7" max="7"/>
    <col width="38" customWidth="1" min="8" max="8"/>
    <col width="16" customWidth="1" min="9" max="9"/>
    <col width="16" customWidth="1" min="10" max="10"/>
    <col width="28" customWidth="1" min="11" max="11"/>
    <col width="11" customWidth="1" min="12" max="12"/>
    <col width="14" customWidth="1" min="13" max="13"/>
    <col width="18" customWidth="1" min="14" max="14"/>
    <col width="14" customWidth="1" min="15" max="15"/>
    <col width="38" customWidth="1" min="16" max="16"/>
  </cols>
  <sheetData>
    <row r="1" ht="32" customHeight="1">
      <c r="A1" s="1" t="inlineStr">
        <is>
          <t>Tanggal Outreach</t>
        </is>
      </c>
      <c r="B1" s="1" t="inlineStr">
        <is>
          <t>Nama Prospect</t>
        </is>
      </c>
      <c r="C1" s="1" t="inlineStr">
        <is>
          <t>Channel</t>
        </is>
      </c>
      <c r="D1" s="1" t="inlineStr">
        <is>
          <t>Link Profile</t>
        </is>
      </c>
      <c r="E1" s="1" t="inlineStr">
        <is>
          <t>Perusahaan</t>
        </is>
      </c>
      <c r="F1" s="1" t="inlineStr">
        <is>
          <t>Industri</t>
        </is>
      </c>
      <c r="G1" s="1" t="inlineStr">
        <is>
          <t>Posisi</t>
        </is>
      </c>
      <c r="H1" s="1" t="inlineStr">
        <is>
          <t>Pesan Dikirim (Singkat)</t>
        </is>
      </c>
      <c r="I1" s="1" t="inlineStr">
        <is>
          <t>Status</t>
        </is>
      </c>
      <c r="J1" s="1" t="inlineStr">
        <is>
          <t>Tanggal Reply</t>
        </is>
      </c>
      <c r="K1" s="1" t="inlineStr">
        <is>
          <t>Next Action</t>
        </is>
      </c>
      <c r="L1" s="1" t="inlineStr">
        <is>
          <t>Hari Trial</t>
        </is>
      </c>
      <c r="M1" s="1" t="inlineStr">
        <is>
          <t>Tanggal Bayar</t>
        </is>
      </c>
      <c r="N1" s="1" t="inlineStr">
        <is>
          <t>Plan Dipilih</t>
        </is>
      </c>
      <c r="O1" s="1" t="inlineStr">
        <is>
          <t>Komisi (Rp)</t>
        </is>
      </c>
      <c r="P1" s="1" t="inlineStr">
        <is>
          <t>Notes</t>
        </is>
      </c>
    </row>
    <row r="2" ht="38" customHeight="1">
      <c r="A2" s="2" t="inlineStr">
        <is>
          <t>2026-05-15</t>
        </is>
      </c>
      <c r="B2" s="2" t="inlineStr">
        <is>
          <t>Budi Santoso</t>
        </is>
      </c>
      <c r="C2" s="2" t="inlineStr">
        <is>
          <t>LinkedIn</t>
        </is>
      </c>
      <c r="D2" s="2" t="inlineStr">
        <is>
          <t>https://linkedin.com/in/budi-santoso</t>
        </is>
      </c>
      <c r="E2" s="2" t="inlineStr">
        <is>
          <t>Toko Mawar Online</t>
        </is>
      </c>
      <c r="F2" s="2" t="inlineStr">
        <is>
          <t>E-commerce</t>
        </is>
      </c>
      <c r="G2" s="2" t="inlineStr">
        <is>
          <t>Owner</t>
        </is>
      </c>
      <c r="H2" s="2" t="inlineStr">
        <is>
          <t>Cold DM offer free audit</t>
        </is>
      </c>
      <c r="I2" s="2" t="inlineStr">
        <is>
          <t>Sent</t>
        </is>
      </c>
      <c r="J2" s="2" t="n"/>
      <c r="K2" s="2" t="inlineStr">
        <is>
          <t>Follow up 2026-05-17</t>
        </is>
      </c>
      <c r="L2" s="2" t="n"/>
      <c r="M2" s="2" t="n"/>
      <c r="N2" s="2" t="inlineStr">
        <is>
          <t>-</t>
        </is>
      </c>
      <c r="O2" s="3" t="n">
        <v>0</v>
      </c>
      <c r="P2" s="2" t="inlineStr">
        <is>
          <t>First cold DM</t>
        </is>
      </c>
    </row>
    <row r="3" ht="38" customHeight="1">
      <c r="A3" s="2" t="inlineStr">
        <is>
          <t>2026-05-15</t>
        </is>
      </c>
      <c r="B3" s="2" t="inlineStr">
        <is>
          <t>Siti Rahayu</t>
        </is>
      </c>
      <c r="C3" s="2" t="inlineStr">
        <is>
          <t>WhatsApp</t>
        </is>
      </c>
      <c r="D3" s="2" t="inlineStr">
        <is>
          <t>wa.me/628123456789</t>
        </is>
      </c>
      <c r="E3" s="2" t="inlineStr">
        <is>
          <t>PT Maju Bersama</t>
        </is>
      </c>
      <c r="F3" s="2" t="inlineStr">
        <is>
          <t>SaaS</t>
        </is>
      </c>
      <c r="G3" s="2" t="inlineStr">
        <is>
          <t>Founder</t>
        </is>
      </c>
      <c r="H3" s="2" t="inlineStr">
        <is>
          <t>Warm intro from Andi</t>
        </is>
      </c>
      <c r="I3" s="2" t="inlineStr">
        <is>
          <t>Replied</t>
        </is>
      </c>
      <c r="J3" s="2" t="inlineStr">
        <is>
          <t>2026-05-15</t>
        </is>
      </c>
      <c r="K3" s="2" t="inlineStr">
        <is>
          <t>Schedule Zoom call</t>
        </is>
      </c>
      <c r="L3" s="2" t="n"/>
      <c r="M3" s="2" t="n"/>
      <c r="N3" s="2" t="inlineStr">
        <is>
          <t>-</t>
        </is>
      </c>
      <c r="O3" s="3" t="n">
        <v>0</v>
      </c>
      <c r="P3" s="2" t="inlineStr">
        <is>
          <t>Interested in trial</t>
        </is>
      </c>
    </row>
    <row r="4" ht="38" customHeight="1">
      <c r="A4" s="2" t="inlineStr">
        <is>
          <t>2026-05-16</t>
        </is>
      </c>
      <c r="B4" s="2" t="inlineStr">
        <is>
          <t>Pak Hartono</t>
        </is>
      </c>
      <c r="C4" s="2" t="inlineStr">
        <is>
          <t>Instagram DM</t>
        </is>
      </c>
      <c r="D4" s="2" t="inlineStr">
        <is>
          <t>instagram.com/hartono.id</t>
        </is>
      </c>
      <c r="E4" s="2" t="inlineStr">
        <is>
          <t>Hartono Coffee</t>
        </is>
      </c>
      <c r="F4" s="2" t="inlineStr">
        <is>
          <t>F&amp;B</t>
        </is>
      </c>
      <c r="G4" s="2" t="inlineStr">
        <is>
          <t>Owner</t>
        </is>
      </c>
      <c r="H4" s="2" t="inlineStr">
        <is>
          <t>Personalized about review pain</t>
        </is>
      </c>
      <c r="I4" s="2" t="inlineStr">
        <is>
          <t>Opened</t>
        </is>
      </c>
      <c r="J4" s="2" t="n"/>
      <c r="K4" s="2" t="inlineStr">
        <is>
          <t>Wait 3 days</t>
        </is>
      </c>
      <c r="L4" s="2" t="n"/>
      <c r="M4" s="2" t="n"/>
      <c r="N4" s="2" t="inlineStr">
        <is>
          <t>-</t>
        </is>
      </c>
      <c r="O4" s="3" t="n">
        <v>0</v>
      </c>
      <c r="P4" s="2" t="inlineStr"/>
    </row>
    <row r="5" ht="38" customHeight="1">
      <c r="A5" s="2" t="inlineStr">
        <is>
          <t>2026-05-16</t>
        </is>
      </c>
      <c r="B5" s="2" t="inlineStr">
        <is>
          <t>Dewi Anggraini</t>
        </is>
      </c>
      <c r="C5" s="2" t="inlineStr">
        <is>
          <t>LinkedIn</t>
        </is>
      </c>
      <c r="D5" s="2" t="inlineStr">
        <is>
          <t>https://linkedin.com/in/dewi-anggraini</t>
        </is>
      </c>
      <c r="E5" s="2" t="inlineStr">
        <is>
          <t>Sociolla</t>
        </is>
      </c>
      <c r="F5" s="2" t="inlineStr">
        <is>
          <t>Beauty</t>
        </is>
      </c>
      <c r="G5" s="2" t="inlineStr">
        <is>
          <t>Head of CX</t>
        </is>
      </c>
      <c r="H5" s="2" t="inlineStr">
        <is>
          <t>Comment di post mereka dulu</t>
        </is>
      </c>
      <c r="I5" s="2" t="inlineStr">
        <is>
          <t>In Discussion</t>
        </is>
      </c>
      <c r="J5" s="2" t="inlineStr">
        <is>
          <t>2026-05-16</t>
        </is>
      </c>
      <c r="K5" s="2" t="inlineStr">
        <is>
          <t>Send proposal</t>
        </is>
      </c>
      <c r="L5" s="2" t="n"/>
      <c r="M5" s="2" t="n"/>
      <c r="N5" s="2" t="inlineStr">
        <is>
          <t>-</t>
        </is>
      </c>
      <c r="O5" s="3" t="n">
        <v>0</v>
      </c>
      <c r="P5" s="2" t="inlineStr">
        <is>
          <t>Big brand interest</t>
        </is>
      </c>
    </row>
    <row r="6" ht="38" customHeight="1">
      <c r="A6" s="2" t="inlineStr">
        <is>
          <t>2026-05-17</t>
        </is>
      </c>
      <c r="B6" s="2" t="inlineStr">
        <is>
          <t>Rizki Pratama</t>
        </is>
      </c>
      <c r="C6" s="2" t="inlineStr">
        <is>
          <t>LinkedIn</t>
        </is>
      </c>
      <c r="D6" s="2" t="inlineStr">
        <is>
          <t>https://linkedin.com/in/rizki-pratama</t>
        </is>
      </c>
      <c r="E6" s="2" t="inlineStr">
        <is>
          <t>Janji Jiwa Coffee</t>
        </is>
      </c>
      <c r="F6" s="2" t="inlineStr">
        <is>
          <t>F&amp;B</t>
        </is>
      </c>
      <c r="G6" s="2" t="inlineStr">
        <is>
          <t>Marketing</t>
        </is>
      </c>
      <c r="H6" s="2" t="inlineStr">
        <is>
          <t>Refer audit gratis</t>
        </is>
      </c>
      <c r="I6" s="2" t="inlineStr">
        <is>
          <t>Trial Signup</t>
        </is>
      </c>
      <c r="J6" s="2" t="inlineStr">
        <is>
          <t>2026-05-17</t>
        </is>
      </c>
      <c r="K6" s="2" t="inlineStr">
        <is>
          <t>Day 7 check-in</t>
        </is>
      </c>
      <c r="L6" s="2" t="n">
        <v>7</v>
      </c>
      <c r="M6" s="2" t="n"/>
      <c r="N6" s="2" t="inlineStr">
        <is>
          <t>-</t>
        </is>
      </c>
      <c r="O6" s="3" t="n">
        <v>0</v>
      </c>
      <c r="P6" s="2" t="inlineStr">
        <is>
          <t>Onboarded</t>
        </is>
      </c>
    </row>
    <row r="7" ht="38" customHeight="1">
      <c r="A7" s="2" t="inlineStr">
        <is>
          <t>2026-05-18</t>
        </is>
      </c>
      <c r="B7" s="2" t="inlineStr">
        <is>
          <t>Andi Wijaya</t>
        </is>
      </c>
      <c r="C7" s="2" t="inlineStr">
        <is>
          <t>Email</t>
        </is>
      </c>
      <c r="D7" s="2" t="inlineStr">
        <is>
          <t>andi@kopikenangan.com</t>
        </is>
      </c>
      <c r="E7" s="2" t="inlineStr">
        <is>
          <t>Kopi Kenangan</t>
        </is>
      </c>
      <c r="F7" s="2" t="inlineStr">
        <is>
          <t>F&amp;B</t>
        </is>
      </c>
      <c r="G7" s="2" t="inlineStr">
        <is>
          <t>Operations</t>
        </is>
      </c>
      <c r="H7" s="2" t="inlineStr">
        <is>
          <t>Cold email about CS</t>
        </is>
      </c>
      <c r="I7" s="2" t="inlineStr">
        <is>
          <t>Lost</t>
        </is>
      </c>
      <c r="J7" s="2" t="inlineStr">
        <is>
          <t>2026-05-19</t>
        </is>
      </c>
      <c r="K7" s="2" t="inlineStr">
        <is>
          <t>Closed - they use Cekat</t>
        </is>
      </c>
      <c r="L7" s="2" t="n"/>
      <c r="M7" s="2" t="n"/>
      <c r="N7" s="2" t="inlineStr">
        <is>
          <t>-</t>
        </is>
      </c>
      <c r="O7" s="3" t="n">
        <v>0</v>
      </c>
      <c r="P7" s="2" t="inlineStr">
        <is>
          <t>Already using Cekat</t>
        </is>
      </c>
    </row>
    <row r="8" ht="38" customHeight="1">
      <c r="A8" s="2" t="inlineStr">
        <is>
          <t>2026-05-18</t>
        </is>
      </c>
      <c r="B8" s="2" t="inlineStr">
        <is>
          <t>Maya Putri</t>
        </is>
      </c>
      <c r="C8" s="2" t="inlineStr">
        <is>
          <t>LinkedIn</t>
        </is>
      </c>
      <c r="D8" s="2" t="inlineStr">
        <is>
          <t>https://linkedin.com/in/maya-putri</t>
        </is>
      </c>
      <c r="E8" s="2" t="inlineStr">
        <is>
          <t>Hangry</t>
        </is>
      </c>
      <c r="F8" s="2" t="inlineStr">
        <is>
          <t>F&amp;B</t>
        </is>
      </c>
      <c r="G8" s="2" t="inlineStr">
        <is>
          <t>Co-founder</t>
        </is>
      </c>
      <c r="H8" s="2" t="inlineStr">
        <is>
          <t>Mutual connection</t>
        </is>
      </c>
      <c r="I8" s="2" t="inlineStr">
        <is>
          <t>Replied</t>
        </is>
      </c>
      <c r="J8" s="2" t="inlineStr">
        <is>
          <t>2026-05-18</t>
        </is>
      </c>
      <c r="K8" s="2" t="inlineStr">
        <is>
          <t>Send demo video</t>
        </is>
      </c>
      <c r="L8" s="2" t="n"/>
      <c r="M8" s="2" t="n"/>
      <c r="N8" s="2" t="inlineStr">
        <is>
          <t>-</t>
        </is>
      </c>
      <c r="O8" s="3" t="n">
        <v>0</v>
      </c>
      <c r="P8" s="2" t="inlineStr"/>
    </row>
    <row r="9" ht="38" customHeight="1">
      <c r="A9" s="2" t="inlineStr">
        <is>
          <t>2026-05-19</t>
        </is>
      </c>
      <c r="B9" s="2" t="inlineStr">
        <is>
          <t>Pak Bambang</t>
        </is>
      </c>
      <c r="C9" s="2" t="inlineStr">
        <is>
          <t>WhatsApp</t>
        </is>
      </c>
      <c r="D9" s="2" t="inlineStr">
        <is>
          <t>wa.me/628987654321</t>
        </is>
      </c>
      <c r="E9" s="2" t="inlineStr">
        <is>
          <t>UD Sejahtera</t>
        </is>
      </c>
      <c r="F9" s="2" t="inlineStr">
        <is>
          <t>Retail</t>
        </is>
      </c>
      <c r="G9" s="2" t="inlineStr">
        <is>
          <t>Owner</t>
        </is>
      </c>
      <c r="H9" s="2" t="inlineStr">
        <is>
          <t>Warm intro from cousin</t>
        </is>
      </c>
      <c r="I9" s="2" t="inlineStr">
        <is>
          <t>Demo Booked</t>
        </is>
      </c>
      <c r="J9" s="2" t="inlineStr">
        <is>
          <t>2026-05-19</t>
        </is>
      </c>
      <c r="K9" s="2" t="inlineStr">
        <is>
          <t>Zoom 2026-05-22 14:00</t>
        </is>
      </c>
      <c r="L9" s="2" t="n"/>
      <c r="M9" s="2" t="n"/>
      <c r="N9" s="2" t="inlineStr">
        <is>
          <t>-</t>
        </is>
      </c>
      <c r="O9" s="3" t="n">
        <v>0</v>
      </c>
      <c r="P9" s="2" t="inlineStr">
        <is>
          <t>Family referral</t>
        </is>
      </c>
    </row>
    <row r="10" ht="38" customHeight="1">
      <c r="A10" s="2" t="inlineStr">
        <is>
          <t>2026-05-20</t>
        </is>
      </c>
      <c r="B10" s="2" t="inlineStr">
        <is>
          <t>Ningrum</t>
        </is>
      </c>
      <c r="C10" s="2" t="inlineStr">
        <is>
          <t>LinkedIn</t>
        </is>
      </c>
      <c r="D10" s="2" t="inlineStr">
        <is>
          <t>https://linkedin.com/in/ningrum</t>
        </is>
      </c>
      <c r="E10" s="2" t="inlineStr">
        <is>
          <t>Eatlah</t>
        </is>
      </c>
      <c r="F10" s="2" t="inlineStr">
        <is>
          <t>F&amp;B</t>
        </is>
      </c>
      <c r="G10" s="2" t="inlineStr">
        <is>
          <t>Operations</t>
        </is>
      </c>
      <c r="H10" s="2" t="inlineStr">
        <is>
          <t>Reply on her post</t>
        </is>
      </c>
      <c r="I10" s="2" t="inlineStr">
        <is>
          <t>In Discussion</t>
        </is>
      </c>
      <c r="J10" s="2" t="inlineStr">
        <is>
          <t>2026-05-20</t>
        </is>
      </c>
      <c r="K10" s="2" t="inlineStr">
        <is>
          <t>Follow up tomorrow</t>
        </is>
      </c>
      <c r="L10" s="2" t="n"/>
      <c r="M10" s="2" t="n"/>
      <c r="N10" s="2" t="inlineStr">
        <is>
          <t>-</t>
        </is>
      </c>
      <c r="O10" s="3" t="n">
        <v>0</v>
      </c>
      <c r="P10" s="2" t="inlineStr"/>
    </row>
    <row r="11" ht="38" customHeight="1">
      <c r="A11" s="2" t="inlineStr">
        <is>
          <t>2026-05-22</t>
        </is>
      </c>
      <c r="B11" s="2" t="inlineStr">
        <is>
          <t>Pak Hartono</t>
        </is>
      </c>
      <c r="C11" s="2" t="inlineStr">
        <is>
          <t>WhatsApp</t>
        </is>
      </c>
      <c r="D11" s="2" t="inlineStr">
        <is>
          <t>wa.me/628333222111</t>
        </is>
      </c>
      <c r="E11" s="2" t="inlineStr">
        <is>
          <t>Hartono Coffee</t>
        </is>
      </c>
      <c r="F11" s="2" t="inlineStr">
        <is>
          <t>F&amp;B</t>
        </is>
      </c>
      <c r="G11" s="2" t="inlineStr">
        <is>
          <t>Owner</t>
        </is>
      </c>
      <c r="H11" s="2" t="inlineStr">
        <is>
          <t>Follow up dari IG</t>
        </is>
      </c>
      <c r="I11" s="2" t="inlineStr">
        <is>
          <t>Paid</t>
        </is>
      </c>
      <c r="J11" s="2" t="inlineStr">
        <is>
          <t>2026-05-25</t>
        </is>
      </c>
      <c r="K11" s="2" t="inlineStr">
        <is>
          <t>Activate plan</t>
        </is>
      </c>
      <c r="L11" s="2" t="n">
        <v>14</v>
      </c>
      <c r="M11" s="2" t="inlineStr">
        <is>
          <t>2026-05-25</t>
        </is>
      </c>
      <c r="N11" s="2" t="inlineStr">
        <is>
          <t>Pro (Rp 299rb)</t>
        </is>
      </c>
      <c r="O11" s="3" t="n">
        <v>30000</v>
      </c>
      <c r="P11" s="2" t="inlineStr">
        <is>
          <t>First paying! Pro Rp 299rb x 10% = Rp 30k</t>
        </is>
      </c>
    </row>
    <row r="12">
      <c r="O12" s="4" t="n"/>
    </row>
    <row r="13">
      <c r="O13" s="4" t="n"/>
    </row>
    <row r="14">
      <c r="O14" s="4" t="n"/>
    </row>
    <row r="15">
      <c r="O15" s="4" t="n"/>
    </row>
    <row r="16">
      <c r="O16" s="4" t="n"/>
    </row>
    <row r="17">
      <c r="O17" s="4" t="n"/>
    </row>
    <row r="18">
      <c r="O18" s="4" t="n"/>
    </row>
    <row r="19">
      <c r="O19" s="4" t="n"/>
    </row>
    <row r="20">
      <c r="O20" s="4" t="n"/>
    </row>
    <row r="21">
      <c r="O21" s="4" t="n"/>
    </row>
    <row r="22">
      <c r="O22" s="4" t="n"/>
    </row>
    <row r="23">
      <c r="O23" s="4" t="n"/>
    </row>
    <row r="24">
      <c r="O24" s="4" t="n"/>
    </row>
    <row r="25">
      <c r="O25" s="4" t="n"/>
    </row>
    <row r="26">
      <c r="O26" s="4" t="n"/>
    </row>
    <row r="27">
      <c r="O27" s="4" t="n"/>
    </row>
    <row r="28">
      <c r="O28" s="4" t="n"/>
    </row>
    <row r="29">
      <c r="O29" s="4" t="n"/>
    </row>
    <row r="30">
      <c r="O30" s="4" t="n"/>
    </row>
    <row r="31">
      <c r="O31" s="4" t="n"/>
    </row>
    <row r="32">
      <c r="O32" s="4" t="n"/>
    </row>
    <row r="33">
      <c r="O33" s="4" t="n"/>
    </row>
    <row r="34">
      <c r="O34" s="4" t="n"/>
    </row>
    <row r="35">
      <c r="O35" s="4" t="n"/>
    </row>
    <row r="36">
      <c r="O36" s="4" t="n"/>
    </row>
    <row r="37">
      <c r="O37" s="4" t="n"/>
    </row>
    <row r="38">
      <c r="O38" s="4" t="n"/>
    </row>
    <row r="39">
      <c r="O39" s="4" t="n"/>
    </row>
    <row r="40">
      <c r="O40" s="4" t="n"/>
    </row>
    <row r="41">
      <c r="O41" s="4" t="n"/>
    </row>
    <row r="42">
      <c r="O42" s="4" t="n"/>
    </row>
    <row r="43">
      <c r="O43" s="4" t="n"/>
    </row>
    <row r="44">
      <c r="O44" s="4" t="n"/>
    </row>
    <row r="45">
      <c r="O45" s="4" t="n"/>
    </row>
    <row r="46">
      <c r="O46" s="4" t="n"/>
    </row>
    <row r="47">
      <c r="O47" s="4" t="n"/>
    </row>
    <row r="48">
      <c r="O48" s="4" t="n"/>
    </row>
    <row r="49">
      <c r="O49" s="4" t="n"/>
    </row>
    <row r="50">
      <c r="O50" s="4" t="n"/>
    </row>
    <row r="51">
      <c r="O51" s="4" t="n"/>
    </row>
    <row r="52">
      <c r="O52" s="4" t="n"/>
    </row>
    <row r="53">
      <c r="O53" s="4" t="n"/>
    </row>
    <row r="54">
      <c r="O54" s="4" t="n"/>
    </row>
    <row r="55">
      <c r="O55" s="4" t="n"/>
    </row>
    <row r="56">
      <c r="O56" s="4" t="n"/>
    </row>
    <row r="57">
      <c r="O57" s="4" t="n"/>
    </row>
    <row r="58">
      <c r="O58" s="4" t="n"/>
    </row>
    <row r="59">
      <c r="O59" s="4" t="n"/>
    </row>
    <row r="60">
      <c r="O60" s="4" t="n"/>
    </row>
    <row r="61">
      <c r="O61" s="4" t="n"/>
    </row>
    <row r="62">
      <c r="O62" s="4" t="n"/>
    </row>
    <row r="63">
      <c r="O63" s="4" t="n"/>
    </row>
    <row r="64">
      <c r="O64" s="4" t="n"/>
    </row>
    <row r="65">
      <c r="O65" s="4" t="n"/>
    </row>
    <row r="66">
      <c r="O66" s="4" t="n"/>
    </row>
    <row r="67">
      <c r="O67" s="4" t="n"/>
    </row>
    <row r="68">
      <c r="O68" s="4" t="n"/>
    </row>
    <row r="69">
      <c r="O69" s="4" t="n"/>
    </row>
    <row r="70">
      <c r="O70" s="4" t="n"/>
    </row>
    <row r="71">
      <c r="O71" s="4" t="n"/>
    </row>
    <row r="72">
      <c r="O72" s="4" t="n"/>
    </row>
    <row r="73">
      <c r="O73" s="4" t="n"/>
    </row>
    <row r="74">
      <c r="O74" s="4" t="n"/>
    </row>
    <row r="75">
      <c r="O75" s="4" t="n"/>
    </row>
    <row r="76">
      <c r="O76" s="4" t="n"/>
    </row>
    <row r="77">
      <c r="O77" s="4" t="n"/>
    </row>
    <row r="78">
      <c r="O78" s="4" t="n"/>
    </row>
    <row r="79">
      <c r="O79" s="4" t="n"/>
    </row>
    <row r="80">
      <c r="O80" s="4" t="n"/>
    </row>
    <row r="81">
      <c r="O81" s="4" t="n"/>
    </row>
    <row r="82">
      <c r="O82" s="4" t="n"/>
    </row>
    <row r="83">
      <c r="O83" s="4" t="n"/>
    </row>
    <row r="84">
      <c r="O84" s="4" t="n"/>
    </row>
    <row r="85">
      <c r="O85" s="4" t="n"/>
    </row>
    <row r="86">
      <c r="O86" s="4" t="n"/>
    </row>
    <row r="87">
      <c r="O87" s="4" t="n"/>
    </row>
    <row r="88">
      <c r="O88" s="4" t="n"/>
    </row>
    <row r="89">
      <c r="O89" s="4" t="n"/>
    </row>
    <row r="90">
      <c r="O90" s="4" t="n"/>
    </row>
    <row r="91">
      <c r="O91" s="4" t="n"/>
    </row>
    <row r="92">
      <c r="O92" s="4" t="n"/>
    </row>
    <row r="93">
      <c r="O93" s="4" t="n"/>
    </row>
    <row r="94">
      <c r="O94" s="4" t="n"/>
    </row>
    <row r="95">
      <c r="O95" s="4" t="n"/>
    </row>
    <row r="96">
      <c r="O96" s="4" t="n"/>
    </row>
    <row r="97">
      <c r="O97" s="4" t="n"/>
    </row>
    <row r="98">
      <c r="O98" s="4" t="n"/>
    </row>
    <row r="99">
      <c r="O99" s="4" t="n"/>
    </row>
    <row r="100">
      <c r="O100" s="4" t="n"/>
    </row>
    <row r="101">
      <c r="O101" s="4" t="n"/>
    </row>
    <row r="102">
      <c r="O102" s="4" t="n"/>
    </row>
    <row r="103">
      <c r="O103" s="4" t="n"/>
    </row>
    <row r="104">
      <c r="O104" s="4" t="n"/>
    </row>
    <row r="105">
      <c r="O105" s="4" t="n"/>
    </row>
    <row r="106">
      <c r="O106" s="4" t="n"/>
    </row>
    <row r="107">
      <c r="O107" s="4" t="n"/>
    </row>
    <row r="108">
      <c r="O108" s="4" t="n"/>
    </row>
    <row r="109">
      <c r="O109" s="4" t="n"/>
    </row>
    <row r="110">
      <c r="O110" s="4" t="n"/>
    </row>
    <row r="111">
      <c r="O111" s="4" t="n"/>
    </row>
    <row r="112">
      <c r="O112" s="4" t="n"/>
    </row>
    <row r="113">
      <c r="O113" s="4" t="n"/>
    </row>
    <row r="114">
      <c r="O114" s="4" t="n"/>
    </row>
    <row r="115">
      <c r="O115" s="4" t="n"/>
    </row>
    <row r="116">
      <c r="O116" s="4" t="n"/>
    </row>
    <row r="117">
      <c r="O117" s="4" t="n"/>
    </row>
    <row r="118">
      <c r="O118" s="4" t="n"/>
    </row>
    <row r="119">
      <c r="O119" s="4" t="n"/>
    </row>
    <row r="120">
      <c r="O120" s="4" t="n"/>
    </row>
    <row r="121">
      <c r="O121" s="4" t="n"/>
    </row>
    <row r="122">
      <c r="O122" s="4" t="n"/>
    </row>
    <row r="123">
      <c r="O123" s="4" t="n"/>
    </row>
    <row r="124">
      <c r="O124" s="4" t="n"/>
    </row>
    <row r="125">
      <c r="O125" s="4" t="n"/>
    </row>
    <row r="126">
      <c r="O126" s="4" t="n"/>
    </row>
    <row r="127">
      <c r="O127" s="4" t="n"/>
    </row>
    <row r="128">
      <c r="O128" s="4" t="n"/>
    </row>
    <row r="129">
      <c r="O129" s="4" t="n"/>
    </row>
    <row r="130">
      <c r="O130" s="4" t="n"/>
    </row>
    <row r="131">
      <c r="O131" s="4" t="n"/>
    </row>
    <row r="132">
      <c r="O132" s="4" t="n"/>
    </row>
    <row r="133">
      <c r="O133" s="4" t="n"/>
    </row>
    <row r="134">
      <c r="O134" s="4" t="n"/>
    </row>
    <row r="135">
      <c r="O135" s="4" t="n"/>
    </row>
    <row r="136">
      <c r="O136" s="4" t="n"/>
    </row>
    <row r="137">
      <c r="O137" s="4" t="n"/>
    </row>
    <row r="138">
      <c r="O138" s="4" t="n"/>
    </row>
    <row r="139">
      <c r="O139" s="4" t="n"/>
    </row>
    <row r="140">
      <c r="O140" s="4" t="n"/>
    </row>
    <row r="141">
      <c r="O141" s="4" t="n"/>
    </row>
    <row r="142">
      <c r="O142" s="4" t="n"/>
    </row>
    <row r="143">
      <c r="O143" s="4" t="n"/>
    </row>
    <row r="144">
      <c r="O144" s="4" t="n"/>
    </row>
    <row r="145">
      <c r="O145" s="4" t="n"/>
    </row>
    <row r="146">
      <c r="O146" s="4" t="n"/>
    </row>
    <row r="147">
      <c r="O147" s="4" t="n"/>
    </row>
    <row r="148">
      <c r="O148" s="4" t="n"/>
    </row>
    <row r="149">
      <c r="O149" s="4" t="n"/>
    </row>
    <row r="150">
      <c r="O150" s="4" t="n"/>
    </row>
    <row r="151">
      <c r="O151" s="4" t="n"/>
    </row>
    <row r="152">
      <c r="O152" s="4" t="n"/>
    </row>
    <row r="153">
      <c r="O153" s="4" t="n"/>
    </row>
    <row r="154">
      <c r="O154" s="4" t="n"/>
    </row>
    <row r="155">
      <c r="O155" s="4" t="n"/>
    </row>
    <row r="156">
      <c r="O156" s="4" t="n"/>
    </row>
    <row r="157">
      <c r="O157" s="4" t="n"/>
    </row>
    <row r="158">
      <c r="O158" s="4" t="n"/>
    </row>
    <row r="159">
      <c r="O159" s="4" t="n"/>
    </row>
    <row r="160">
      <c r="O160" s="4" t="n"/>
    </row>
    <row r="161">
      <c r="O161" s="4" t="n"/>
    </row>
    <row r="162">
      <c r="O162" s="4" t="n"/>
    </row>
    <row r="163">
      <c r="O163" s="4" t="n"/>
    </row>
    <row r="164">
      <c r="O164" s="4" t="n"/>
    </row>
    <row r="165">
      <c r="O165" s="4" t="n"/>
    </row>
    <row r="166">
      <c r="O166" s="4" t="n"/>
    </row>
    <row r="167">
      <c r="O167" s="4" t="n"/>
    </row>
    <row r="168">
      <c r="O168" s="4" t="n"/>
    </row>
    <row r="169">
      <c r="O169" s="4" t="n"/>
    </row>
    <row r="170">
      <c r="O170" s="4" t="n"/>
    </row>
    <row r="171">
      <c r="O171" s="4" t="n"/>
    </row>
    <row r="172">
      <c r="O172" s="4" t="n"/>
    </row>
    <row r="173">
      <c r="O173" s="4" t="n"/>
    </row>
    <row r="174">
      <c r="O174" s="4" t="n"/>
    </row>
    <row r="175">
      <c r="O175" s="4" t="n"/>
    </row>
    <row r="176">
      <c r="O176" s="4" t="n"/>
    </row>
    <row r="177">
      <c r="O177" s="4" t="n"/>
    </row>
    <row r="178">
      <c r="O178" s="4" t="n"/>
    </row>
    <row r="179">
      <c r="O179" s="4" t="n"/>
    </row>
    <row r="180">
      <c r="O180" s="4" t="n"/>
    </row>
    <row r="181">
      <c r="O181" s="4" t="n"/>
    </row>
    <row r="182">
      <c r="O182" s="4" t="n"/>
    </row>
    <row r="183">
      <c r="O183" s="4" t="n"/>
    </row>
    <row r="184">
      <c r="O184" s="4" t="n"/>
    </row>
    <row r="185">
      <c r="O185" s="4" t="n"/>
    </row>
    <row r="186">
      <c r="O186" s="4" t="n"/>
    </row>
    <row r="187">
      <c r="O187" s="4" t="n"/>
    </row>
    <row r="188">
      <c r="O188" s="4" t="n"/>
    </row>
    <row r="189">
      <c r="O189" s="4" t="n"/>
    </row>
    <row r="190">
      <c r="O190" s="4" t="n"/>
    </row>
    <row r="191">
      <c r="O191" s="4" t="n"/>
    </row>
    <row r="192">
      <c r="O192" s="4" t="n"/>
    </row>
    <row r="193">
      <c r="O193" s="4" t="n"/>
    </row>
    <row r="194">
      <c r="O194" s="4" t="n"/>
    </row>
    <row r="195">
      <c r="O195" s="4" t="n"/>
    </row>
    <row r="196">
      <c r="O196" s="4" t="n"/>
    </row>
    <row r="197">
      <c r="O197" s="4" t="n"/>
    </row>
    <row r="198">
      <c r="O198" s="4" t="n"/>
    </row>
    <row r="199">
      <c r="O199" s="4" t="n"/>
    </row>
    <row r="200">
      <c r="O200" s="4" t="n"/>
    </row>
    <row r="201">
      <c r="O201" s="4" t="n"/>
    </row>
    <row r="202">
      <c r="O202" s="4" t="n"/>
    </row>
    <row r="203">
      <c r="O203" s="4" t="n"/>
    </row>
    <row r="204">
      <c r="O204" s="4" t="n"/>
    </row>
    <row r="205">
      <c r="O205" s="4" t="n"/>
    </row>
    <row r="206">
      <c r="O206" s="4" t="n"/>
    </row>
    <row r="207">
      <c r="O207" s="4" t="n"/>
    </row>
    <row r="208">
      <c r="O208" s="4" t="n"/>
    </row>
    <row r="209">
      <c r="O209" s="4" t="n"/>
    </row>
    <row r="210">
      <c r="O210" s="4" t="n"/>
    </row>
    <row r="211">
      <c r="O211" s="4" t="n"/>
    </row>
    <row r="212">
      <c r="O212" s="4" t="n"/>
    </row>
    <row r="213">
      <c r="O213" s="4" t="n"/>
    </row>
    <row r="214">
      <c r="O214" s="4" t="n"/>
    </row>
    <row r="215">
      <c r="O215" s="4" t="n"/>
    </row>
    <row r="216">
      <c r="O216" s="4" t="n"/>
    </row>
    <row r="217">
      <c r="O217" s="4" t="n"/>
    </row>
    <row r="218">
      <c r="O218" s="4" t="n"/>
    </row>
    <row r="219">
      <c r="O219" s="4" t="n"/>
    </row>
    <row r="220">
      <c r="O220" s="4" t="n"/>
    </row>
    <row r="221">
      <c r="O221" s="4" t="n"/>
    </row>
    <row r="222">
      <c r="O222" s="4" t="n"/>
    </row>
    <row r="223">
      <c r="O223" s="4" t="n"/>
    </row>
    <row r="224">
      <c r="O224" s="4" t="n"/>
    </row>
    <row r="225">
      <c r="O225" s="4" t="n"/>
    </row>
    <row r="226">
      <c r="O226" s="4" t="n"/>
    </row>
    <row r="227">
      <c r="O227" s="4" t="n"/>
    </row>
    <row r="228">
      <c r="O228" s="4" t="n"/>
    </row>
    <row r="229">
      <c r="O229" s="4" t="n"/>
    </row>
    <row r="230">
      <c r="O230" s="4" t="n"/>
    </row>
    <row r="231">
      <c r="O231" s="4" t="n"/>
    </row>
    <row r="232">
      <c r="O232" s="4" t="n"/>
    </row>
    <row r="233">
      <c r="O233" s="4" t="n"/>
    </row>
    <row r="234">
      <c r="O234" s="4" t="n"/>
    </row>
    <row r="235">
      <c r="O235" s="4" t="n"/>
    </row>
    <row r="236">
      <c r="O236" s="4" t="n"/>
    </row>
    <row r="237">
      <c r="O237" s="4" t="n"/>
    </row>
    <row r="238">
      <c r="O238" s="4" t="n"/>
    </row>
    <row r="239">
      <c r="O239" s="4" t="n"/>
    </row>
    <row r="240">
      <c r="O240" s="4" t="n"/>
    </row>
    <row r="241">
      <c r="O241" s="4" t="n"/>
    </row>
    <row r="242">
      <c r="O242" s="4" t="n"/>
    </row>
    <row r="243">
      <c r="O243" s="4" t="n"/>
    </row>
    <row r="244">
      <c r="O244" s="4" t="n"/>
    </row>
    <row r="245">
      <c r="O245" s="4" t="n"/>
    </row>
    <row r="246">
      <c r="O246" s="4" t="n"/>
    </row>
    <row r="247">
      <c r="O247" s="4" t="n"/>
    </row>
    <row r="248">
      <c r="O248" s="4" t="n"/>
    </row>
    <row r="249">
      <c r="O249" s="4" t="n"/>
    </row>
    <row r="250">
      <c r="O250" s="4" t="n"/>
    </row>
    <row r="251">
      <c r="O251" s="4" t="n"/>
    </row>
    <row r="252">
      <c r="O252" s="4" t="n"/>
    </row>
    <row r="253">
      <c r="O253" s="4" t="n"/>
    </row>
    <row r="254">
      <c r="O254" s="4" t="n"/>
    </row>
    <row r="255">
      <c r="O255" s="4" t="n"/>
    </row>
    <row r="256">
      <c r="O256" s="4" t="n"/>
    </row>
    <row r="257">
      <c r="O257" s="4" t="n"/>
    </row>
    <row r="258">
      <c r="O258" s="4" t="n"/>
    </row>
    <row r="259">
      <c r="O259" s="4" t="n"/>
    </row>
    <row r="260">
      <c r="O260" s="4" t="n"/>
    </row>
    <row r="261">
      <c r="O261" s="4" t="n"/>
    </row>
    <row r="262">
      <c r="O262" s="4" t="n"/>
    </row>
    <row r="263">
      <c r="O263" s="4" t="n"/>
    </row>
    <row r="264">
      <c r="O264" s="4" t="n"/>
    </row>
    <row r="265">
      <c r="O265" s="4" t="n"/>
    </row>
    <row r="266">
      <c r="O266" s="4" t="n"/>
    </row>
    <row r="267">
      <c r="O267" s="4" t="n"/>
    </row>
    <row r="268">
      <c r="O268" s="4" t="n"/>
    </row>
    <row r="269">
      <c r="O269" s="4" t="n"/>
    </row>
    <row r="270">
      <c r="O270" s="4" t="n"/>
    </row>
    <row r="271">
      <c r="O271" s="4" t="n"/>
    </row>
    <row r="272">
      <c r="O272" s="4" t="n"/>
    </row>
    <row r="273">
      <c r="O273" s="4" t="n"/>
    </row>
    <row r="274">
      <c r="O274" s="4" t="n"/>
    </row>
    <row r="275">
      <c r="O275" s="4" t="n"/>
    </row>
    <row r="276">
      <c r="O276" s="4" t="n"/>
    </row>
    <row r="277">
      <c r="O277" s="4" t="n"/>
    </row>
    <row r="278">
      <c r="O278" s="4" t="n"/>
    </row>
    <row r="279">
      <c r="O279" s="4" t="n"/>
    </row>
    <row r="280">
      <c r="O280" s="4" t="n"/>
    </row>
    <row r="281">
      <c r="O281" s="4" t="n"/>
    </row>
    <row r="282">
      <c r="O282" s="4" t="n"/>
    </row>
    <row r="283">
      <c r="O283" s="4" t="n"/>
    </row>
    <row r="284">
      <c r="O284" s="4" t="n"/>
    </row>
    <row r="285">
      <c r="O285" s="4" t="n"/>
    </row>
    <row r="286">
      <c r="O286" s="4" t="n"/>
    </row>
    <row r="287">
      <c r="O287" s="4" t="n"/>
    </row>
    <row r="288">
      <c r="O288" s="4" t="n"/>
    </row>
    <row r="289">
      <c r="O289" s="4" t="n"/>
    </row>
    <row r="290">
      <c r="O290" s="4" t="n"/>
    </row>
    <row r="291">
      <c r="O291" s="4" t="n"/>
    </row>
    <row r="292">
      <c r="O292" s="4" t="n"/>
    </row>
    <row r="293">
      <c r="O293" s="4" t="n"/>
    </row>
    <row r="294">
      <c r="O294" s="4" t="n"/>
    </row>
    <row r="295">
      <c r="O295" s="4" t="n"/>
    </row>
    <row r="296">
      <c r="O296" s="4" t="n"/>
    </row>
    <row r="297">
      <c r="O297" s="4" t="n"/>
    </row>
    <row r="298">
      <c r="O298" s="4" t="n"/>
    </row>
    <row r="299">
      <c r="O299" s="4" t="n"/>
    </row>
    <row r="300">
      <c r="O300" s="4" t="n"/>
    </row>
    <row r="301">
      <c r="O301" s="4" t="n"/>
    </row>
    <row r="302">
      <c r="O302" s="4" t="n"/>
    </row>
    <row r="303">
      <c r="O303" s="4" t="n"/>
    </row>
    <row r="304">
      <c r="O304" s="4" t="n"/>
    </row>
    <row r="305">
      <c r="O305" s="4" t="n"/>
    </row>
    <row r="306">
      <c r="O306" s="4" t="n"/>
    </row>
    <row r="307">
      <c r="O307" s="4" t="n"/>
    </row>
    <row r="308">
      <c r="O308" s="4" t="n"/>
    </row>
    <row r="309">
      <c r="O309" s="4" t="n"/>
    </row>
    <row r="310">
      <c r="O310" s="4" t="n"/>
    </row>
    <row r="311">
      <c r="O311" s="4" t="n"/>
    </row>
    <row r="312">
      <c r="O312" s="4" t="n"/>
    </row>
    <row r="313">
      <c r="O313" s="4" t="n"/>
    </row>
    <row r="314">
      <c r="O314" s="4" t="n"/>
    </row>
    <row r="315">
      <c r="O315" s="4" t="n"/>
    </row>
    <row r="316">
      <c r="O316" s="4" t="n"/>
    </row>
    <row r="317">
      <c r="O317" s="4" t="n"/>
    </row>
    <row r="318">
      <c r="O318" s="4" t="n"/>
    </row>
    <row r="319">
      <c r="O319" s="4" t="n"/>
    </row>
    <row r="320">
      <c r="O320" s="4" t="n"/>
    </row>
    <row r="321">
      <c r="O321" s="4" t="n"/>
    </row>
    <row r="322">
      <c r="O322" s="4" t="n"/>
    </row>
    <row r="323">
      <c r="O323" s="4" t="n"/>
    </row>
    <row r="324">
      <c r="O324" s="4" t="n"/>
    </row>
    <row r="325">
      <c r="O325" s="4" t="n"/>
    </row>
    <row r="326">
      <c r="O326" s="4" t="n"/>
    </row>
    <row r="327">
      <c r="O327" s="4" t="n"/>
    </row>
    <row r="328">
      <c r="O328" s="4" t="n"/>
    </row>
    <row r="329">
      <c r="O329" s="4" t="n"/>
    </row>
    <row r="330">
      <c r="O330" s="4" t="n"/>
    </row>
    <row r="331">
      <c r="O331" s="4" t="n"/>
    </row>
    <row r="332">
      <c r="O332" s="4" t="n"/>
    </row>
    <row r="333">
      <c r="O333" s="4" t="n"/>
    </row>
    <row r="334">
      <c r="O334" s="4" t="n"/>
    </row>
    <row r="335">
      <c r="O335" s="4" t="n"/>
    </row>
    <row r="336">
      <c r="O336" s="4" t="n"/>
    </row>
    <row r="337">
      <c r="O337" s="4" t="n"/>
    </row>
    <row r="338">
      <c r="O338" s="4" t="n"/>
    </row>
    <row r="339">
      <c r="O339" s="4" t="n"/>
    </row>
    <row r="340">
      <c r="O340" s="4" t="n"/>
    </row>
    <row r="341">
      <c r="O341" s="4" t="n"/>
    </row>
    <row r="342">
      <c r="O342" s="4" t="n"/>
    </row>
    <row r="343">
      <c r="O343" s="4" t="n"/>
    </row>
    <row r="344">
      <c r="O344" s="4" t="n"/>
    </row>
    <row r="345">
      <c r="O345" s="4" t="n"/>
    </row>
    <row r="346">
      <c r="O346" s="4" t="n"/>
    </row>
    <row r="347">
      <c r="O347" s="4" t="n"/>
    </row>
    <row r="348">
      <c r="O348" s="4" t="n"/>
    </row>
    <row r="349">
      <c r="O349" s="4" t="n"/>
    </row>
    <row r="350">
      <c r="O350" s="4" t="n"/>
    </row>
    <row r="351">
      <c r="O351" s="4" t="n"/>
    </row>
    <row r="352">
      <c r="O352" s="4" t="n"/>
    </row>
    <row r="353">
      <c r="O353" s="4" t="n"/>
    </row>
    <row r="354">
      <c r="O354" s="4" t="n"/>
    </row>
    <row r="355">
      <c r="O355" s="4" t="n"/>
    </row>
    <row r="356">
      <c r="O356" s="4" t="n"/>
    </row>
    <row r="357">
      <c r="O357" s="4" t="n"/>
    </row>
    <row r="358">
      <c r="O358" s="4" t="n"/>
    </row>
    <row r="359">
      <c r="O359" s="4" t="n"/>
    </row>
    <row r="360">
      <c r="O360" s="4" t="n"/>
    </row>
    <row r="361">
      <c r="O361" s="4" t="n"/>
    </row>
    <row r="362">
      <c r="O362" s="4" t="n"/>
    </row>
    <row r="363">
      <c r="O363" s="4" t="n"/>
    </row>
    <row r="364">
      <c r="O364" s="4" t="n"/>
    </row>
    <row r="365">
      <c r="O365" s="4" t="n"/>
    </row>
    <row r="366">
      <c r="O366" s="4" t="n"/>
    </row>
    <row r="367">
      <c r="O367" s="4" t="n"/>
    </row>
    <row r="368">
      <c r="O368" s="4" t="n"/>
    </row>
    <row r="369">
      <c r="O369" s="4" t="n"/>
    </row>
    <row r="370">
      <c r="O370" s="4" t="n"/>
    </row>
    <row r="371">
      <c r="O371" s="4" t="n"/>
    </row>
    <row r="372">
      <c r="O372" s="4" t="n"/>
    </row>
    <row r="373">
      <c r="O373" s="4" t="n"/>
    </row>
    <row r="374">
      <c r="O374" s="4" t="n"/>
    </row>
    <row r="375">
      <c r="O375" s="4" t="n"/>
    </row>
    <row r="376">
      <c r="O376" s="4" t="n"/>
    </row>
    <row r="377">
      <c r="O377" s="4" t="n"/>
    </row>
    <row r="378">
      <c r="O378" s="4" t="n"/>
    </row>
    <row r="379">
      <c r="O379" s="4" t="n"/>
    </row>
    <row r="380">
      <c r="O380" s="4" t="n"/>
    </row>
    <row r="381">
      <c r="O381" s="4" t="n"/>
    </row>
    <row r="382">
      <c r="O382" s="4" t="n"/>
    </row>
    <row r="383">
      <c r="O383" s="4" t="n"/>
    </row>
    <row r="384">
      <c r="O384" s="4" t="n"/>
    </row>
    <row r="385">
      <c r="O385" s="4" t="n"/>
    </row>
    <row r="386">
      <c r="O386" s="4" t="n"/>
    </row>
    <row r="387">
      <c r="O387" s="4" t="n"/>
    </row>
    <row r="388">
      <c r="O388" s="4" t="n"/>
    </row>
    <row r="389">
      <c r="O389" s="4" t="n"/>
    </row>
    <row r="390">
      <c r="O390" s="4" t="n"/>
    </row>
    <row r="391">
      <c r="O391" s="4" t="n"/>
    </row>
    <row r="392">
      <c r="O392" s="4" t="n"/>
    </row>
    <row r="393">
      <c r="O393" s="4" t="n"/>
    </row>
    <row r="394">
      <c r="O394" s="4" t="n"/>
    </row>
    <row r="395">
      <c r="O395" s="4" t="n"/>
    </row>
    <row r="396">
      <c r="O396" s="4" t="n"/>
    </row>
    <row r="397">
      <c r="O397" s="4" t="n"/>
    </row>
    <row r="398">
      <c r="O398" s="4" t="n"/>
    </row>
    <row r="399">
      <c r="O399" s="4" t="n"/>
    </row>
    <row r="400">
      <c r="O400" s="4" t="n"/>
    </row>
    <row r="401">
      <c r="O401" s="4" t="n"/>
    </row>
    <row r="402">
      <c r="O402" s="4" t="n"/>
    </row>
    <row r="403">
      <c r="O403" s="4" t="n"/>
    </row>
    <row r="404">
      <c r="O404" s="4" t="n"/>
    </row>
    <row r="405">
      <c r="O405" s="4" t="n"/>
    </row>
    <row r="406">
      <c r="O406" s="4" t="n"/>
    </row>
    <row r="407">
      <c r="O407" s="4" t="n"/>
    </row>
    <row r="408">
      <c r="O408" s="4" t="n"/>
    </row>
    <row r="409">
      <c r="O409" s="4" t="n"/>
    </row>
    <row r="410">
      <c r="O410" s="4" t="n"/>
    </row>
    <row r="411">
      <c r="O411" s="4" t="n"/>
    </row>
    <row r="412">
      <c r="O412" s="4" t="n"/>
    </row>
    <row r="413">
      <c r="O413" s="4" t="n"/>
    </row>
    <row r="414">
      <c r="O414" s="4" t="n"/>
    </row>
    <row r="415">
      <c r="O415" s="4" t="n"/>
    </row>
    <row r="416">
      <c r="O416" s="4" t="n"/>
    </row>
    <row r="417">
      <c r="O417" s="4" t="n"/>
    </row>
    <row r="418">
      <c r="O418" s="4" t="n"/>
    </row>
    <row r="419">
      <c r="O419" s="4" t="n"/>
    </row>
    <row r="420">
      <c r="O420" s="4" t="n"/>
    </row>
    <row r="421">
      <c r="O421" s="4" t="n"/>
    </row>
    <row r="422">
      <c r="O422" s="4" t="n"/>
    </row>
    <row r="423">
      <c r="O423" s="4" t="n"/>
    </row>
    <row r="424">
      <c r="O424" s="4" t="n"/>
    </row>
    <row r="425">
      <c r="O425" s="4" t="n"/>
    </row>
    <row r="426">
      <c r="O426" s="4" t="n"/>
    </row>
    <row r="427">
      <c r="O427" s="4" t="n"/>
    </row>
    <row r="428">
      <c r="O428" s="4" t="n"/>
    </row>
    <row r="429">
      <c r="O429" s="4" t="n"/>
    </row>
    <row r="430">
      <c r="O430" s="4" t="n"/>
    </row>
    <row r="431">
      <c r="O431" s="4" t="n"/>
    </row>
    <row r="432">
      <c r="O432" s="4" t="n"/>
    </row>
    <row r="433">
      <c r="O433" s="4" t="n"/>
    </row>
    <row r="434">
      <c r="O434" s="4" t="n"/>
    </row>
    <row r="435">
      <c r="O435" s="4" t="n"/>
    </row>
    <row r="436">
      <c r="O436" s="4" t="n"/>
    </row>
    <row r="437">
      <c r="O437" s="4" t="n"/>
    </row>
    <row r="438">
      <c r="O438" s="4" t="n"/>
    </row>
    <row r="439">
      <c r="O439" s="4" t="n"/>
    </row>
    <row r="440">
      <c r="O440" s="4" t="n"/>
    </row>
    <row r="441">
      <c r="O441" s="4" t="n"/>
    </row>
    <row r="442">
      <c r="O442" s="4" t="n"/>
    </row>
    <row r="443">
      <c r="O443" s="4" t="n"/>
    </row>
    <row r="444">
      <c r="O444" s="4" t="n"/>
    </row>
    <row r="445">
      <c r="O445" s="4" t="n"/>
    </row>
    <row r="446">
      <c r="O446" s="4" t="n"/>
    </row>
    <row r="447">
      <c r="O447" s="4" t="n"/>
    </row>
    <row r="448">
      <c r="O448" s="4" t="n"/>
    </row>
    <row r="449">
      <c r="O449" s="4" t="n"/>
    </row>
    <row r="450">
      <c r="O450" s="4" t="n"/>
    </row>
    <row r="451">
      <c r="O451" s="4" t="n"/>
    </row>
    <row r="452">
      <c r="O452" s="4" t="n"/>
    </row>
    <row r="453">
      <c r="O453" s="4" t="n"/>
    </row>
    <row r="454">
      <c r="O454" s="4" t="n"/>
    </row>
    <row r="455">
      <c r="O455" s="4" t="n"/>
    </row>
    <row r="456">
      <c r="O456" s="4" t="n"/>
    </row>
    <row r="457">
      <c r="O457" s="4" t="n"/>
    </row>
    <row r="458">
      <c r="O458" s="4" t="n"/>
    </row>
    <row r="459">
      <c r="O459" s="4" t="n"/>
    </row>
    <row r="460">
      <c r="O460" s="4" t="n"/>
    </row>
    <row r="461">
      <c r="O461" s="4" t="n"/>
    </row>
    <row r="462">
      <c r="O462" s="4" t="n"/>
    </row>
    <row r="463">
      <c r="O463" s="4" t="n"/>
    </row>
    <row r="464">
      <c r="O464" s="4" t="n"/>
    </row>
    <row r="465">
      <c r="O465" s="4" t="n"/>
    </row>
    <row r="466">
      <c r="O466" s="4" t="n"/>
    </row>
    <row r="467">
      <c r="O467" s="4" t="n"/>
    </row>
    <row r="468">
      <c r="O468" s="4" t="n"/>
    </row>
    <row r="469">
      <c r="O469" s="4" t="n"/>
    </row>
    <row r="470">
      <c r="O470" s="4" t="n"/>
    </row>
    <row r="471">
      <c r="O471" s="4" t="n"/>
    </row>
    <row r="472">
      <c r="O472" s="4" t="n"/>
    </row>
    <row r="473">
      <c r="O473" s="4" t="n"/>
    </row>
    <row r="474">
      <c r="O474" s="4" t="n"/>
    </row>
    <row r="475">
      <c r="O475" s="4" t="n"/>
    </row>
    <row r="476">
      <c r="O476" s="4" t="n"/>
    </row>
    <row r="477">
      <c r="O477" s="4" t="n"/>
    </row>
    <row r="478">
      <c r="O478" s="4" t="n"/>
    </row>
    <row r="479">
      <c r="O479" s="4" t="n"/>
    </row>
    <row r="480">
      <c r="O480" s="4" t="n"/>
    </row>
    <row r="481">
      <c r="O481" s="4" t="n"/>
    </row>
    <row r="482">
      <c r="O482" s="4" t="n"/>
    </row>
    <row r="483">
      <c r="O483" s="4" t="n"/>
    </row>
    <row r="484">
      <c r="O484" s="4" t="n"/>
    </row>
    <row r="485">
      <c r="O485" s="4" t="n"/>
    </row>
    <row r="486">
      <c r="O486" s="4" t="n"/>
    </row>
    <row r="487">
      <c r="O487" s="4" t="n"/>
    </row>
    <row r="488">
      <c r="O488" s="4" t="n"/>
    </row>
    <row r="489">
      <c r="O489" s="4" t="n"/>
    </row>
    <row r="490">
      <c r="O490" s="4" t="n"/>
    </row>
    <row r="491">
      <c r="O491" s="4" t="n"/>
    </row>
    <row r="492">
      <c r="O492" s="4" t="n"/>
    </row>
    <row r="493">
      <c r="O493" s="4" t="n"/>
    </row>
    <row r="494">
      <c r="O494" s="4" t="n"/>
    </row>
    <row r="495">
      <c r="O495" s="4" t="n"/>
    </row>
    <row r="496">
      <c r="O496" s="4" t="n"/>
    </row>
    <row r="497">
      <c r="O497" s="4" t="n"/>
    </row>
    <row r="498">
      <c r="O498" s="4" t="n"/>
    </row>
    <row r="499">
      <c r="O499" s="4" t="n"/>
    </row>
    <row r="500">
      <c r="O500" s="4" t="n"/>
    </row>
    <row r="501">
      <c r="O501" s="4" t="n"/>
    </row>
    <row r="502">
      <c r="O502" s="4" t="n"/>
    </row>
    <row r="503">
      <c r="O503" s="4" t="n"/>
    </row>
    <row r="504">
      <c r="O504" s="4" t="n"/>
    </row>
    <row r="505">
      <c r="O505" s="4" t="n"/>
    </row>
    <row r="506">
      <c r="O506" s="4" t="n"/>
    </row>
    <row r="507">
      <c r="O507" s="4" t="n"/>
    </row>
    <row r="508">
      <c r="O508" s="4" t="n"/>
    </row>
    <row r="509">
      <c r="O509" s="4" t="n"/>
    </row>
    <row r="510">
      <c r="O510" s="4" t="n"/>
    </row>
    <row r="511">
      <c r="O511" s="4" t="n"/>
    </row>
    <row r="512">
      <c r="O512" s="4" t="n"/>
    </row>
    <row r="513">
      <c r="O513" s="4" t="n"/>
    </row>
    <row r="514">
      <c r="O514" s="4" t="n"/>
    </row>
    <row r="515">
      <c r="O515" s="4" t="n"/>
    </row>
    <row r="516">
      <c r="O516" s="4" t="n"/>
    </row>
    <row r="517">
      <c r="O517" s="4" t="n"/>
    </row>
    <row r="518">
      <c r="O518" s="4" t="n"/>
    </row>
    <row r="519">
      <c r="O519" s="4" t="n"/>
    </row>
    <row r="520">
      <c r="O520" s="4" t="n"/>
    </row>
    <row r="521">
      <c r="O521" s="4" t="n"/>
    </row>
    <row r="522">
      <c r="O522" s="4" t="n"/>
    </row>
    <row r="523">
      <c r="O523" s="4" t="n"/>
    </row>
    <row r="524">
      <c r="O524" s="4" t="n"/>
    </row>
    <row r="525">
      <c r="O525" s="4" t="n"/>
    </row>
    <row r="526">
      <c r="O526" s="4" t="n"/>
    </row>
    <row r="527">
      <c r="O527" s="4" t="n"/>
    </row>
    <row r="528">
      <c r="O528" s="4" t="n"/>
    </row>
    <row r="529">
      <c r="O529" s="4" t="n"/>
    </row>
    <row r="530">
      <c r="O530" s="4" t="n"/>
    </row>
    <row r="531">
      <c r="O531" s="4" t="n"/>
    </row>
    <row r="532">
      <c r="O532" s="4" t="n"/>
    </row>
    <row r="533">
      <c r="O533" s="4" t="n"/>
    </row>
    <row r="534">
      <c r="O534" s="4" t="n"/>
    </row>
    <row r="535">
      <c r="O535" s="4" t="n"/>
    </row>
    <row r="536">
      <c r="O536" s="4" t="n"/>
    </row>
    <row r="537">
      <c r="O537" s="4" t="n"/>
    </row>
    <row r="538">
      <c r="O538" s="4" t="n"/>
    </row>
    <row r="539">
      <c r="O539" s="4" t="n"/>
    </row>
    <row r="540">
      <c r="O540" s="4" t="n"/>
    </row>
    <row r="541">
      <c r="O541" s="4" t="n"/>
    </row>
    <row r="542">
      <c r="O542" s="4" t="n"/>
    </row>
    <row r="543">
      <c r="O543" s="4" t="n"/>
    </row>
    <row r="544">
      <c r="O544" s="4" t="n"/>
    </row>
    <row r="545">
      <c r="O545" s="4" t="n"/>
    </row>
    <row r="546">
      <c r="O546" s="4" t="n"/>
    </row>
    <row r="547">
      <c r="O547" s="4" t="n"/>
    </row>
    <row r="548">
      <c r="O548" s="4" t="n"/>
    </row>
    <row r="549">
      <c r="O549" s="4" t="n"/>
    </row>
    <row r="550">
      <c r="O550" s="4" t="n"/>
    </row>
    <row r="551">
      <c r="O551" s="4" t="n"/>
    </row>
    <row r="552">
      <c r="O552" s="4" t="n"/>
    </row>
    <row r="553">
      <c r="O553" s="4" t="n"/>
    </row>
    <row r="554">
      <c r="O554" s="4" t="n"/>
    </row>
    <row r="555">
      <c r="O555" s="4" t="n"/>
    </row>
    <row r="556">
      <c r="O556" s="4" t="n"/>
    </row>
    <row r="557">
      <c r="O557" s="4" t="n"/>
    </row>
    <row r="558">
      <c r="O558" s="4" t="n"/>
    </row>
    <row r="559">
      <c r="O559" s="4" t="n"/>
    </row>
    <row r="560">
      <c r="O560" s="4" t="n"/>
    </row>
    <row r="561">
      <c r="O561" s="4" t="n"/>
    </row>
    <row r="562">
      <c r="O562" s="4" t="n"/>
    </row>
    <row r="563">
      <c r="O563" s="4" t="n"/>
    </row>
    <row r="564">
      <c r="O564" s="4" t="n"/>
    </row>
    <row r="565">
      <c r="O565" s="4" t="n"/>
    </row>
    <row r="566">
      <c r="O566" s="4" t="n"/>
    </row>
    <row r="567">
      <c r="O567" s="4" t="n"/>
    </row>
    <row r="568">
      <c r="O568" s="4" t="n"/>
    </row>
    <row r="569">
      <c r="O569" s="4" t="n"/>
    </row>
    <row r="570">
      <c r="O570" s="4" t="n"/>
    </row>
    <row r="571">
      <c r="O571" s="4" t="n"/>
    </row>
    <row r="572">
      <c r="O572" s="4" t="n"/>
    </row>
    <row r="573">
      <c r="O573" s="4" t="n"/>
    </row>
    <row r="574">
      <c r="O574" s="4" t="n"/>
    </row>
    <row r="575">
      <c r="O575" s="4" t="n"/>
    </row>
    <row r="576">
      <c r="O576" s="4" t="n"/>
    </row>
    <row r="577">
      <c r="O577" s="4" t="n"/>
    </row>
    <row r="578">
      <c r="O578" s="4" t="n"/>
    </row>
    <row r="579">
      <c r="O579" s="4" t="n"/>
    </row>
    <row r="580">
      <c r="O580" s="4" t="n"/>
    </row>
    <row r="581">
      <c r="O581" s="4" t="n"/>
    </row>
    <row r="582">
      <c r="O582" s="4" t="n"/>
    </row>
    <row r="583">
      <c r="O583" s="4" t="n"/>
    </row>
    <row r="584">
      <c r="O584" s="4" t="n"/>
    </row>
    <row r="585">
      <c r="O585" s="4" t="n"/>
    </row>
    <row r="586">
      <c r="O586" s="4" t="n"/>
    </row>
    <row r="587">
      <c r="O587" s="4" t="n"/>
    </row>
    <row r="588">
      <c r="O588" s="4" t="n"/>
    </row>
    <row r="589">
      <c r="O589" s="4" t="n"/>
    </row>
    <row r="590">
      <c r="O590" s="4" t="n"/>
    </row>
    <row r="591">
      <c r="O591" s="4" t="n"/>
    </row>
    <row r="592">
      <c r="O592" s="4" t="n"/>
    </row>
    <row r="593">
      <c r="O593" s="4" t="n"/>
    </row>
    <row r="594">
      <c r="O594" s="4" t="n"/>
    </row>
    <row r="595">
      <c r="O595" s="4" t="n"/>
    </row>
    <row r="596">
      <c r="O596" s="4" t="n"/>
    </row>
    <row r="597">
      <c r="O597" s="4" t="n"/>
    </row>
    <row r="598">
      <c r="O598" s="4" t="n"/>
    </row>
    <row r="599">
      <c r="O599" s="4" t="n"/>
    </row>
    <row r="600">
      <c r="O600" s="4" t="n"/>
    </row>
    <row r="601">
      <c r="O601" s="4" t="n"/>
    </row>
    <row r="602">
      <c r="O602" s="4" t="n"/>
    </row>
    <row r="603">
      <c r="O603" s="4" t="n"/>
    </row>
    <row r="604">
      <c r="O604" s="4" t="n"/>
    </row>
    <row r="605">
      <c r="O605" s="4" t="n"/>
    </row>
    <row r="606">
      <c r="O606" s="4" t="n"/>
    </row>
    <row r="607">
      <c r="O607" s="4" t="n"/>
    </row>
    <row r="608">
      <c r="O608" s="4" t="n"/>
    </row>
    <row r="609">
      <c r="O609" s="4" t="n"/>
    </row>
    <row r="610">
      <c r="O610" s="4" t="n"/>
    </row>
    <row r="611">
      <c r="O611" s="4" t="n"/>
    </row>
    <row r="612">
      <c r="O612" s="4" t="n"/>
    </row>
    <row r="613">
      <c r="O613" s="4" t="n"/>
    </row>
    <row r="614">
      <c r="O614" s="4" t="n"/>
    </row>
    <row r="615">
      <c r="O615" s="4" t="n"/>
    </row>
    <row r="616">
      <c r="O616" s="4" t="n"/>
    </row>
    <row r="617">
      <c r="O617" s="4" t="n"/>
    </row>
    <row r="618">
      <c r="O618" s="4" t="n"/>
    </row>
    <row r="619">
      <c r="O619" s="4" t="n"/>
    </row>
    <row r="620">
      <c r="O620" s="4" t="n"/>
    </row>
    <row r="621">
      <c r="O621" s="4" t="n"/>
    </row>
    <row r="622">
      <c r="O622" s="4" t="n"/>
    </row>
    <row r="623">
      <c r="O623" s="4" t="n"/>
    </row>
    <row r="624">
      <c r="O624" s="4" t="n"/>
    </row>
    <row r="625">
      <c r="O625" s="4" t="n"/>
    </row>
    <row r="626">
      <c r="O626" s="4" t="n"/>
    </row>
    <row r="627">
      <c r="O627" s="4" t="n"/>
    </row>
    <row r="628">
      <c r="O628" s="4" t="n"/>
    </row>
    <row r="629">
      <c r="O629" s="4" t="n"/>
    </row>
    <row r="630">
      <c r="O630" s="4" t="n"/>
    </row>
    <row r="631">
      <c r="O631" s="4" t="n"/>
    </row>
    <row r="632">
      <c r="O632" s="4" t="n"/>
    </row>
    <row r="633">
      <c r="O633" s="4" t="n"/>
    </row>
    <row r="634">
      <c r="O634" s="4" t="n"/>
    </row>
    <row r="635">
      <c r="O635" s="4" t="n"/>
    </row>
    <row r="636">
      <c r="O636" s="4" t="n"/>
    </row>
    <row r="637">
      <c r="O637" s="4" t="n"/>
    </row>
    <row r="638">
      <c r="O638" s="4" t="n"/>
    </row>
    <row r="639">
      <c r="O639" s="4" t="n"/>
    </row>
    <row r="640">
      <c r="O640" s="4" t="n"/>
    </row>
    <row r="641">
      <c r="O641" s="4" t="n"/>
    </row>
    <row r="642">
      <c r="O642" s="4" t="n"/>
    </row>
    <row r="643">
      <c r="O643" s="4" t="n"/>
    </row>
    <row r="644">
      <c r="O644" s="4" t="n"/>
    </row>
    <row r="645">
      <c r="O645" s="4" t="n"/>
    </row>
    <row r="646">
      <c r="O646" s="4" t="n"/>
    </row>
    <row r="647">
      <c r="O647" s="4" t="n"/>
    </row>
    <row r="648">
      <c r="O648" s="4" t="n"/>
    </row>
    <row r="649">
      <c r="O649" s="4" t="n"/>
    </row>
    <row r="650">
      <c r="O650" s="4" t="n"/>
    </row>
    <row r="651">
      <c r="O651" s="4" t="n"/>
    </row>
    <row r="652">
      <c r="O652" s="4" t="n"/>
    </row>
    <row r="653">
      <c r="O653" s="4" t="n"/>
    </row>
    <row r="654">
      <c r="O654" s="4" t="n"/>
    </row>
    <row r="655">
      <c r="O655" s="4" t="n"/>
    </row>
    <row r="656">
      <c r="O656" s="4" t="n"/>
    </row>
    <row r="657">
      <c r="O657" s="4" t="n"/>
    </row>
    <row r="658">
      <c r="O658" s="4" t="n"/>
    </row>
    <row r="659">
      <c r="O659" s="4" t="n"/>
    </row>
    <row r="660">
      <c r="O660" s="4" t="n"/>
    </row>
    <row r="661">
      <c r="O661" s="4" t="n"/>
    </row>
    <row r="662">
      <c r="O662" s="4" t="n"/>
    </row>
    <row r="663">
      <c r="O663" s="4" t="n"/>
    </row>
    <row r="664">
      <c r="O664" s="4" t="n"/>
    </row>
    <row r="665">
      <c r="O665" s="4" t="n"/>
    </row>
    <row r="666">
      <c r="O666" s="4" t="n"/>
    </row>
    <row r="667">
      <c r="O667" s="4" t="n"/>
    </row>
    <row r="668">
      <c r="O668" s="4" t="n"/>
    </row>
    <row r="669">
      <c r="O669" s="4" t="n"/>
    </row>
    <row r="670">
      <c r="O670" s="4" t="n"/>
    </row>
    <row r="671">
      <c r="O671" s="4" t="n"/>
    </row>
    <row r="672">
      <c r="O672" s="4" t="n"/>
    </row>
    <row r="673">
      <c r="O673" s="4" t="n"/>
    </row>
    <row r="674">
      <c r="O674" s="4" t="n"/>
    </row>
    <row r="675">
      <c r="O675" s="4" t="n"/>
    </row>
    <row r="676">
      <c r="O676" s="4" t="n"/>
    </row>
    <row r="677">
      <c r="O677" s="4" t="n"/>
    </row>
    <row r="678">
      <c r="O678" s="4" t="n"/>
    </row>
    <row r="679">
      <c r="O679" s="4" t="n"/>
    </row>
    <row r="680">
      <c r="O680" s="4" t="n"/>
    </row>
    <row r="681">
      <c r="O681" s="4" t="n"/>
    </row>
    <row r="682">
      <c r="O682" s="4" t="n"/>
    </row>
    <row r="683">
      <c r="O683" s="4" t="n"/>
    </row>
    <row r="684">
      <c r="O684" s="4" t="n"/>
    </row>
    <row r="685">
      <c r="O685" s="4" t="n"/>
    </row>
    <row r="686">
      <c r="O686" s="4" t="n"/>
    </row>
    <row r="687">
      <c r="O687" s="4" t="n"/>
    </row>
    <row r="688">
      <c r="O688" s="4" t="n"/>
    </row>
    <row r="689">
      <c r="O689" s="4" t="n"/>
    </row>
    <row r="690">
      <c r="O690" s="4" t="n"/>
    </row>
    <row r="691">
      <c r="O691" s="4" t="n"/>
    </row>
    <row r="692">
      <c r="O692" s="4" t="n"/>
    </row>
    <row r="693">
      <c r="O693" s="4" t="n"/>
    </row>
    <row r="694">
      <c r="O694" s="4" t="n"/>
    </row>
    <row r="695">
      <c r="O695" s="4" t="n"/>
    </row>
    <row r="696">
      <c r="O696" s="4" t="n"/>
    </row>
    <row r="697">
      <c r="O697" s="4" t="n"/>
    </row>
    <row r="698">
      <c r="O698" s="4" t="n"/>
    </row>
    <row r="699">
      <c r="O699" s="4" t="n"/>
    </row>
    <row r="700">
      <c r="O700" s="4" t="n"/>
    </row>
    <row r="701">
      <c r="O701" s="4" t="n"/>
    </row>
    <row r="702">
      <c r="O702" s="4" t="n"/>
    </row>
    <row r="703">
      <c r="O703" s="4" t="n"/>
    </row>
    <row r="704">
      <c r="O704" s="4" t="n"/>
    </row>
    <row r="705">
      <c r="O705" s="4" t="n"/>
    </row>
    <row r="706">
      <c r="O706" s="4" t="n"/>
    </row>
    <row r="707">
      <c r="O707" s="4" t="n"/>
    </row>
    <row r="708">
      <c r="O708" s="4" t="n"/>
    </row>
    <row r="709">
      <c r="O709" s="4" t="n"/>
    </row>
    <row r="710">
      <c r="O710" s="4" t="n"/>
    </row>
    <row r="711">
      <c r="O711" s="4" t="n"/>
    </row>
    <row r="712">
      <c r="O712" s="4" t="n"/>
    </row>
    <row r="713">
      <c r="O713" s="4" t="n"/>
    </row>
    <row r="714">
      <c r="O714" s="4" t="n"/>
    </row>
    <row r="715">
      <c r="O715" s="4" t="n"/>
    </row>
    <row r="716">
      <c r="O716" s="4" t="n"/>
    </row>
    <row r="717">
      <c r="O717" s="4" t="n"/>
    </row>
    <row r="718">
      <c r="O718" s="4" t="n"/>
    </row>
    <row r="719">
      <c r="O719" s="4" t="n"/>
    </row>
    <row r="720">
      <c r="O720" s="4" t="n"/>
    </row>
    <row r="721">
      <c r="O721" s="4" t="n"/>
    </row>
    <row r="722">
      <c r="O722" s="4" t="n"/>
    </row>
    <row r="723">
      <c r="O723" s="4" t="n"/>
    </row>
    <row r="724">
      <c r="O724" s="4" t="n"/>
    </row>
    <row r="725">
      <c r="O725" s="4" t="n"/>
    </row>
    <row r="726">
      <c r="O726" s="4" t="n"/>
    </row>
    <row r="727">
      <c r="O727" s="4" t="n"/>
    </row>
    <row r="728">
      <c r="O728" s="4" t="n"/>
    </row>
    <row r="729">
      <c r="O729" s="4" t="n"/>
    </row>
    <row r="730">
      <c r="O730" s="4" t="n"/>
    </row>
    <row r="731">
      <c r="O731" s="4" t="n"/>
    </row>
    <row r="732">
      <c r="O732" s="4" t="n"/>
    </row>
    <row r="733">
      <c r="O733" s="4" t="n"/>
    </row>
    <row r="734">
      <c r="O734" s="4" t="n"/>
    </row>
    <row r="735">
      <c r="O735" s="4" t="n"/>
    </row>
    <row r="736">
      <c r="O736" s="4" t="n"/>
    </row>
    <row r="737">
      <c r="O737" s="4" t="n"/>
    </row>
    <row r="738">
      <c r="O738" s="4" t="n"/>
    </row>
    <row r="739">
      <c r="O739" s="4" t="n"/>
    </row>
    <row r="740">
      <c r="O740" s="4" t="n"/>
    </row>
    <row r="741">
      <c r="O741" s="4" t="n"/>
    </row>
    <row r="742">
      <c r="O742" s="4" t="n"/>
    </row>
    <row r="743">
      <c r="O743" s="4" t="n"/>
    </row>
    <row r="744">
      <c r="O744" s="4" t="n"/>
    </row>
    <row r="745">
      <c r="O745" s="4" t="n"/>
    </row>
    <row r="746">
      <c r="O746" s="4" t="n"/>
    </row>
    <row r="747">
      <c r="O747" s="4" t="n"/>
    </row>
    <row r="748">
      <c r="O748" s="4" t="n"/>
    </row>
    <row r="749">
      <c r="O749" s="4" t="n"/>
    </row>
    <row r="750">
      <c r="O750" s="4" t="n"/>
    </row>
    <row r="751">
      <c r="O751" s="4" t="n"/>
    </row>
    <row r="752">
      <c r="O752" s="4" t="n"/>
    </row>
    <row r="753">
      <c r="O753" s="4" t="n"/>
    </row>
    <row r="754">
      <c r="O754" s="4" t="n"/>
    </row>
    <row r="755">
      <c r="O755" s="4" t="n"/>
    </row>
    <row r="756">
      <c r="O756" s="4" t="n"/>
    </row>
    <row r="757">
      <c r="O757" s="4" t="n"/>
    </row>
    <row r="758">
      <c r="O758" s="4" t="n"/>
    </row>
    <row r="759">
      <c r="O759" s="4" t="n"/>
    </row>
    <row r="760">
      <c r="O760" s="4" t="n"/>
    </row>
    <row r="761">
      <c r="O761" s="4" t="n"/>
    </row>
    <row r="762">
      <c r="O762" s="4" t="n"/>
    </row>
    <row r="763">
      <c r="O763" s="4" t="n"/>
    </row>
    <row r="764">
      <c r="O764" s="4" t="n"/>
    </row>
    <row r="765">
      <c r="O765" s="4" t="n"/>
    </row>
    <row r="766">
      <c r="O766" s="4" t="n"/>
    </row>
    <row r="767">
      <c r="O767" s="4" t="n"/>
    </row>
    <row r="768">
      <c r="O768" s="4" t="n"/>
    </row>
    <row r="769">
      <c r="O769" s="4" t="n"/>
    </row>
    <row r="770">
      <c r="O770" s="4" t="n"/>
    </row>
    <row r="771">
      <c r="O771" s="4" t="n"/>
    </row>
    <row r="772">
      <c r="O772" s="4" t="n"/>
    </row>
    <row r="773">
      <c r="O773" s="4" t="n"/>
    </row>
    <row r="774">
      <c r="O774" s="4" t="n"/>
    </row>
    <row r="775">
      <c r="O775" s="4" t="n"/>
    </row>
    <row r="776">
      <c r="O776" s="4" t="n"/>
    </row>
    <row r="777">
      <c r="O777" s="4" t="n"/>
    </row>
    <row r="778">
      <c r="O778" s="4" t="n"/>
    </row>
    <row r="779">
      <c r="O779" s="4" t="n"/>
    </row>
    <row r="780">
      <c r="O780" s="4" t="n"/>
    </row>
    <row r="781">
      <c r="O781" s="4" t="n"/>
    </row>
    <row r="782">
      <c r="O782" s="4" t="n"/>
    </row>
    <row r="783">
      <c r="O783" s="4" t="n"/>
    </row>
    <row r="784">
      <c r="O784" s="4" t="n"/>
    </row>
    <row r="785">
      <c r="O785" s="4" t="n"/>
    </row>
    <row r="786">
      <c r="O786" s="4" t="n"/>
    </row>
    <row r="787">
      <c r="O787" s="4" t="n"/>
    </row>
    <row r="788">
      <c r="O788" s="4" t="n"/>
    </row>
    <row r="789">
      <c r="O789" s="4" t="n"/>
    </row>
    <row r="790">
      <c r="O790" s="4" t="n"/>
    </row>
    <row r="791">
      <c r="O791" s="4" t="n"/>
    </row>
    <row r="792">
      <c r="O792" s="4" t="n"/>
    </row>
    <row r="793">
      <c r="O793" s="4" t="n"/>
    </row>
    <row r="794">
      <c r="O794" s="4" t="n"/>
    </row>
    <row r="795">
      <c r="O795" s="4" t="n"/>
    </row>
    <row r="796">
      <c r="O796" s="4" t="n"/>
    </row>
    <row r="797">
      <c r="O797" s="4" t="n"/>
    </row>
    <row r="798">
      <c r="O798" s="4" t="n"/>
    </row>
    <row r="799">
      <c r="O799" s="4" t="n"/>
    </row>
    <row r="800">
      <c r="O800" s="4" t="n"/>
    </row>
    <row r="801">
      <c r="O801" s="4" t="n"/>
    </row>
    <row r="802">
      <c r="O802" s="4" t="n"/>
    </row>
    <row r="803">
      <c r="O803" s="4" t="n"/>
    </row>
    <row r="804">
      <c r="O804" s="4" t="n"/>
    </row>
    <row r="805">
      <c r="O805" s="4" t="n"/>
    </row>
    <row r="806">
      <c r="O806" s="4" t="n"/>
    </row>
    <row r="807">
      <c r="O807" s="4" t="n"/>
    </row>
    <row r="808">
      <c r="O808" s="4" t="n"/>
    </row>
    <row r="809">
      <c r="O809" s="4" t="n"/>
    </row>
    <row r="810">
      <c r="O810" s="4" t="n"/>
    </row>
    <row r="811">
      <c r="O811" s="4" t="n"/>
    </row>
    <row r="812">
      <c r="O812" s="4" t="n"/>
    </row>
    <row r="813">
      <c r="O813" s="4" t="n"/>
    </row>
    <row r="814">
      <c r="O814" s="4" t="n"/>
    </row>
    <row r="815">
      <c r="O815" s="4" t="n"/>
    </row>
    <row r="816">
      <c r="O816" s="4" t="n"/>
    </row>
    <row r="817">
      <c r="O817" s="4" t="n"/>
    </row>
    <row r="818">
      <c r="O818" s="4" t="n"/>
    </row>
    <row r="819">
      <c r="O819" s="4" t="n"/>
    </row>
    <row r="820">
      <c r="O820" s="4" t="n"/>
    </row>
    <row r="821">
      <c r="O821" s="4" t="n"/>
    </row>
    <row r="822">
      <c r="O822" s="4" t="n"/>
    </row>
    <row r="823">
      <c r="O823" s="4" t="n"/>
    </row>
    <row r="824">
      <c r="O824" s="4" t="n"/>
    </row>
    <row r="825">
      <c r="O825" s="4" t="n"/>
    </row>
    <row r="826">
      <c r="O826" s="4" t="n"/>
    </row>
    <row r="827">
      <c r="O827" s="4" t="n"/>
    </row>
    <row r="828">
      <c r="O828" s="4" t="n"/>
    </row>
    <row r="829">
      <c r="O829" s="4" t="n"/>
    </row>
    <row r="830">
      <c r="O830" s="4" t="n"/>
    </row>
    <row r="831">
      <c r="O831" s="4" t="n"/>
    </row>
    <row r="832">
      <c r="O832" s="4" t="n"/>
    </row>
    <row r="833">
      <c r="O833" s="4" t="n"/>
    </row>
    <row r="834">
      <c r="O834" s="4" t="n"/>
    </row>
    <row r="835">
      <c r="O835" s="4" t="n"/>
    </row>
    <row r="836">
      <c r="O836" s="4" t="n"/>
    </row>
    <row r="837">
      <c r="O837" s="4" t="n"/>
    </row>
    <row r="838">
      <c r="O838" s="4" t="n"/>
    </row>
    <row r="839">
      <c r="O839" s="4" t="n"/>
    </row>
    <row r="840">
      <c r="O840" s="4" t="n"/>
    </row>
    <row r="841">
      <c r="O841" s="4" t="n"/>
    </row>
    <row r="842">
      <c r="O842" s="4" t="n"/>
    </row>
    <row r="843">
      <c r="O843" s="4" t="n"/>
    </row>
    <row r="844">
      <c r="O844" s="4" t="n"/>
    </row>
    <row r="845">
      <c r="O845" s="4" t="n"/>
    </row>
    <row r="846">
      <c r="O846" s="4" t="n"/>
    </row>
    <row r="847">
      <c r="O847" s="4" t="n"/>
    </row>
    <row r="848">
      <c r="O848" s="4" t="n"/>
    </row>
    <row r="849">
      <c r="O849" s="4" t="n"/>
    </row>
    <row r="850">
      <c r="O850" s="4" t="n"/>
    </row>
    <row r="851">
      <c r="O851" s="4" t="n"/>
    </row>
    <row r="852">
      <c r="O852" s="4" t="n"/>
    </row>
    <row r="853">
      <c r="O853" s="4" t="n"/>
    </row>
    <row r="854">
      <c r="O854" s="4" t="n"/>
    </row>
    <row r="855">
      <c r="O855" s="4" t="n"/>
    </row>
    <row r="856">
      <c r="O856" s="4" t="n"/>
    </row>
    <row r="857">
      <c r="O857" s="4" t="n"/>
    </row>
    <row r="858">
      <c r="O858" s="4" t="n"/>
    </row>
    <row r="859">
      <c r="O859" s="4" t="n"/>
    </row>
    <row r="860">
      <c r="O860" s="4" t="n"/>
    </row>
    <row r="861">
      <c r="O861" s="4" t="n"/>
    </row>
    <row r="862">
      <c r="O862" s="4" t="n"/>
    </row>
    <row r="863">
      <c r="O863" s="4" t="n"/>
    </row>
    <row r="864">
      <c r="O864" s="4" t="n"/>
    </row>
    <row r="865">
      <c r="O865" s="4" t="n"/>
    </row>
    <row r="866">
      <c r="O866" s="4" t="n"/>
    </row>
    <row r="867">
      <c r="O867" s="4" t="n"/>
    </row>
    <row r="868">
      <c r="O868" s="4" t="n"/>
    </row>
    <row r="869">
      <c r="O869" s="4" t="n"/>
    </row>
    <row r="870">
      <c r="O870" s="4" t="n"/>
    </row>
    <row r="871">
      <c r="O871" s="4" t="n"/>
    </row>
    <row r="872">
      <c r="O872" s="4" t="n"/>
    </row>
    <row r="873">
      <c r="O873" s="4" t="n"/>
    </row>
    <row r="874">
      <c r="O874" s="4" t="n"/>
    </row>
    <row r="875">
      <c r="O875" s="4" t="n"/>
    </row>
    <row r="876">
      <c r="O876" s="4" t="n"/>
    </row>
    <row r="877">
      <c r="O877" s="4" t="n"/>
    </row>
    <row r="878">
      <c r="O878" s="4" t="n"/>
    </row>
    <row r="879">
      <c r="O879" s="4" t="n"/>
    </row>
    <row r="880">
      <c r="O880" s="4" t="n"/>
    </row>
    <row r="881">
      <c r="O881" s="4" t="n"/>
    </row>
    <row r="882">
      <c r="O882" s="4" t="n"/>
    </row>
    <row r="883">
      <c r="O883" s="4" t="n"/>
    </row>
    <row r="884">
      <c r="O884" s="4" t="n"/>
    </row>
    <row r="885">
      <c r="O885" s="4" t="n"/>
    </row>
    <row r="886">
      <c r="O886" s="4" t="n"/>
    </row>
    <row r="887">
      <c r="O887" s="4" t="n"/>
    </row>
    <row r="888">
      <c r="O888" s="4" t="n"/>
    </row>
    <row r="889">
      <c r="O889" s="4" t="n"/>
    </row>
    <row r="890">
      <c r="O890" s="4" t="n"/>
    </row>
    <row r="891">
      <c r="O891" s="4" t="n"/>
    </row>
    <row r="892">
      <c r="O892" s="4" t="n"/>
    </row>
    <row r="893">
      <c r="O893" s="4" t="n"/>
    </row>
    <row r="894">
      <c r="O894" s="4" t="n"/>
    </row>
    <row r="895">
      <c r="O895" s="4" t="n"/>
    </row>
    <row r="896">
      <c r="O896" s="4" t="n"/>
    </row>
    <row r="897">
      <c r="O897" s="4" t="n"/>
    </row>
    <row r="898">
      <c r="O898" s="4" t="n"/>
    </row>
    <row r="899">
      <c r="O899" s="4" t="n"/>
    </row>
    <row r="900">
      <c r="O900" s="4" t="n"/>
    </row>
    <row r="901">
      <c r="O901" s="4" t="n"/>
    </row>
    <row r="902">
      <c r="O902" s="4" t="n"/>
    </row>
    <row r="903">
      <c r="O903" s="4" t="n"/>
    </row>
    <row r="904">
      <c r="O904" s="4" t="n"/>
    </row>
    <row r="905">
      <c r="O905" s="4" t="n"/>
    </row>
    <row r="906">
      <c r="O906" s="4" t="n"/>
    </row>
    <row r="907">
      <c r="O907" s="4" t="n"/>
    </row>
    <row r="908">
      <c r="O908" s="4" t="n"/>
    </row>
    <row r="909">
      <c r="O909" s="4" t="n"/>
    </row>
    <row r="910">
      <c r="O910" s="4" t="n"/>
    </row>
    <row r="911">
      <c r="O911" s="4" t="n"/>
    </row>
    <row r="912">
      <c r="O912" s="4" t="n"/>
    </row>
    <row r="913">
      <c r="O913" s="4" t="n"/>
    </row>
    <row r="914">
      <c r="O914" s="4" t="n"/>
    </row>
    <row r="915">
      <c r="O915" s="4" t="n"/>
    </row>
    <row r="916">
      <c r="O916" s="4" t="n"/>
    </row>
    <row r="917">
      <c r="O917" s="4" t="n"/>
    </row>
    <row r="918">
      <c r="O918" s="4" t="n"/>
    </row>
    <row r="919">
      <c r="O919" s="4" t="n"/>
    </row>
    <row r="920">
      <c r="O920" s="4" t="n"/>
    </row>
    <row r="921">
      <c r="O921" s="4" t="n"/>
    </row>
    <row r="922">
      <c r="O922" s="4" t="n"/>
    </row>
    <row r="923">
      <c r="O923" s="4" t="n"/>
    </row>
    <row r="924">
      <c r="O924" s="4" t="n"/>
    </row>
    <row r="925">
      <c r="O925" s="4" t="n"/>
    </row>
    <row r="926">
      <c r="O926" s="4" t="n"/>
    </row>
    <row r="927">
      <c r="O927" s="4" t="n"/>
    </row>
    <row r="928">
      <c r="O928" s="4" t="n"/>
    </row>
    <row r="929">
      <c r="O929" s="4" t="n"/>
    </row>
    <row r="930">
      <c r="O930" s="4" t="n"/>
    </row>
    <row r="931">
      <c r="O931" s="4" t="n"/>
    </row>
    <row r="932">
      <c r="O932" s="4" t="n"/>
    </row>
    <row r="933">
      <c r="O933" s="4" t="n"/>
    </row>
    <row r="934">
      <c r="O934" s="4" t="n"/>
    </row>
    <row r="935">
      <c r="O935" s="4" t="n"/>
    </row>
    <row r="936">
      <c r="O936" s="4" t="n"/>
    </row>
    <row r="937">
      <c r="O937" s="4" t="n"/>
    </row>
    <row r="938">
      <c r="O938" s="4" t="n"/>
    </row>
    <row r="939">
      <c r="O939" s="4" t="n"/>
    </row>
    <row r="940">
      <c r="O940" s="4" t="n"/>
    </row>
    <row r="941">
      <c r="O941" s="4" t="n"/>
    </row>
    <row r="942">
      <c r="O942" s="4" t="n"/>
    </row>
    <row r="943">
      <c r="O943" s="4" t="n"/>
    </row>
    <row r="944">
      <c r="O944" s="4" t="n"/>
    </row>
    <row r="945">
      <c r="O945" s="4" t="n"/>
    </row>
    <row r="946">
      <c r="O946" s="4" t="n"/>
    </row>
    <row r="947">
      <c r="O947" s="4" t="n"/>
    </row>
    <row r="948">
      <c r="O948" s="4" t="n"/>
    </row>
    <row r="949">
      <c r="O949" s="4" t="n"/>
    </row>
    <row r="950">
      <c r="O950" s="4" t="n"/>
    </row>
    <row r="951">
      <c r="O951" s="4" t="n"/>
    </row>
    <row r="952">
      <c r="O952" s="4" t="n"/>
    </row>
    <row r="953">
      <c r="O953" s="4" t="n"/>
    </row>
    <row r="954">
      <c r="O954" s="4" t="n"/>
    </row>
    <row r="955">
      <c r="O955" s="4" t="n"/>
    </row>
    <row r="956">
      <c r="O956" s="4" t="n"/>
    </row>
    <row r="957">
      <c r="O957" s="4" t="n"/>
    </row>
    <row r="958">
      <c r="O958" s="4" t="n"/>
    </row>
    <row r="959">
      <c r="O959" s="4" t="n"/>
    </row>
    <row r="960">
      <c r="O960" s="4" t="n"/>
    </row>
    <row r="961">
      <c r="O961" s="4" t="n"/>
    </row>
    <row r="962">
      <c r="O962" s="4" t="n"/>
    </row>
    <row r="963">
      <c r="O963" s="4" t="n"/>
    </row>
    <row r="964">
      <c r="O964" s="4" t="n"/>
    </row>
    <row r="965">
      <c r="O965" s="4" t="n"/>
    </row>
    <row r="966">
      <c r="O966" s="4" t="n"/>
    </row>
    <row r="967">
      <c r="O967" s="4" t="n"/>
    </row>
    <row r="968">
      <c r="O968" s="4" t="n"/>
    </row>
    <row r="969">
      <c r="O969" s="4" t="n"/>
    </row>
    <row r="970">
      <c r="O970" s="4" t="n"/>
    </row>
    <row r="971">
      <c r="O971" s="4" t="n"/>
    </row>
    <row r="972">
      <c r="O972" s="4" t="n"/>
    </row>
    <row r="973">
      <c r="O973" s="4" t="n"/>
    </row>
    <row r="974">
      <c r="O974" s="4" t="n"/>
    </row>
    <row r="975">
      <c r="O975" s="4" t="n"/>
    </row>
    <row r="976">
      <c r="O976" s="4" t="n"/>
    </row>
    <row r="977">
      <c r="O977" s="4" t="n"/>
    </row>
    <row r="978">
      <c r="O978" s="4" t="n"/>
    </row>
    <row r="979">
      <c r="O979" s="4" t="n"/>
    </row>
    <row r="980">
      <c r="O980" s="4" t="n"/>
    </row>
    <row r="981">
      <c r="O981" s="4" t="n"/>
    </row>
    <row r="982">
      <c r="O982" s="4" t="n"/>
    </row>
    <row r="983">
      <c r="O983" s="4" t="n"/>
    </row>
    <row r="984">
      <c r="O984" s="4" t="n"/>
    </row>
    <row r="985">
      <c r="O985" s="4" t="n"/>
    </row>
    <row r="986">
      <c r="O986" s="4" t="n"/>
    </row>
    <row r="987">
      <c r="O987" s="4" t="n"/>
    </row>
    <row r="988">
      <c r="O988" s="4" t="n"/>
    </row>
    <row r="989">
      <c r="O989" s="4" t="n"/>
    </row>
    <row r="990">
      <c r="O990" s="4" t="n"/>
    </row>
    <row r="991">
      <c r="O991" s="4" t="n"/>
    </row>
    <row r="992">
      <c r="O992" s="4" t="n"/>
    </row>
    <row r="993">
      <c r="O993" s="4" t="n"/>
    </row>
    <row r="994">
      <c r="O994" s="4" t="n"/>
    </row>
    <row r="995">
      <c r="O995" s="4" t="n"/>
    </row>
    <row r="996">
      <c r="O996" s="4" t="n"/>
    </row>
    <row r="997">
      <c r="O997" s="4" t="n"/>
    </row>
    <row r="998">
      <c r="O998" s="4" t="n"/>
    </row>
    <row r="999">
      <c r="O999" s="4" t="n"/>
    </row>
    <row r="1000">
      <c r="O1000" s="4" t="n"/>
    </row>
  </sheetData>
  <conditionalFormatting sqref="I2:I1000">
    <cfRule type="cellIs" priority="1" operator="equal" dxfId="0">
      <formula>"Paid"</formula>
    </cfRule>
    <cfRule type="cellIs" priority="2" operator="equal" dxfId="1">
      <formula>"Lost"</formula>
    </cfRule>
    <cfRule type="cellIs" priority="3" operator="equal" dxfId="2">
      <formula>"Demo Booked"</formula>
    </cfRule>
    <cfRule type="cellIs" priority="4" operator="equal" dxfId="2">
      <formula>"Trial Signup"</formula>
    </cfRule>
    <cfRule type="cellIs" priority="5" operator="equal" dxfId="3">
      <formula>"Demo Done"</formula>
    </cfRule>
    <cfRule type="cellIs" priority="6" operator="equal" dxfId="3">
      <formula>"In Discussion"</formula>
    </cfRule>
    <cfRule type="cellIs" priority="7" operator="equal" dxfId="4">
      <formula>"Replied"</formula>
    </cfRule>
    <cfRule type="cellIs" priority="8" operator="equal" dxfId="5">
      <formula>"Sent"</formula>
    </cfRule>
    <cfRule type="cellIs" priority="9" operator="equal" dxfId="5">
      <formula>"Opened"</formula>
    </cfRule>
  </conditionalFormatting>
  <dataValidations count="4">
    <dataValidation sqref="C2:C1000" showDropDown="0" showInputMessage="0" showErrorMessage="0" allowBlank="1" type="list">
      <formula1>"LinkedIn,WhatsApp,Email,Instagram DM,Komunitas,Facebook Group,TikTok DM,Referral"</formula1>
    </dataValidation>
    <dataValidation sqref="F2:F1000" showDropDown="0" showInputMessage="0" showErrorMessage="0" allowBlank="1" type="list">
      <formula1>"E-commerce,SaaS,F&amp;B,Edu,Beauty,Retail,Fashion,Health,Travel,Other"</formula1>
    </dataValidation>
    <dataValidation sqref="I2:I1000" showDropDown="0" showInputMessage="0" showErrorMessage="0" allowBlank="1" type="list">
      <formula1>"Sent,Opened,Replied,In Discussion,Demo Booked,Demo Done,Trial Signup,Paid,Lost"</formula1>
    </dataValidation>
    <dataValidation sqref="N2:N1000" showDropDown="0" showInputMessage="0" showErrorMessage="0" allowBlank="1" type="list">
      <formula1>"-,Lite (Rp 99rb),Pro (Rp 299rb),Business (Rp 999rb),Custom"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8" customHeight="1">
      <c r="A1" s="5" t="inlineStr">
        <is>
          <t>AICS Lead Tracking Summary</t>
        </is>
      </c>
    </row>
    <row r="2">
      <c r="A2" s="6" t="inlineStr">
        <is>
          <t>Auto-updated dari sheet 'Leads'</t>
        </is>
      </c>
    </row>
    <row r="4">
      <c r="A4" s="7" t="inlineStr">
        <is>
          <t>Total Outreach</t>
        </is>
      </c>
      <c r="B4" s="8">
        <f>COUNTA(Leads!A2:A1000)</f>
        <v/>
      </c>
    </row>
    <row r="5">
      <c r="A5" s="7" t="inlineStr">
        <is>
          <t>Total Replied or Beyond</t>
        </is>
      </c>
      <c r="B5" s="8">
        <f>COUNTIF(Leads!I2:I1000,"Replied")+COUNTIF(Leads!I2:I1000,"In Discussion")+COUNTIF(Leads!I2:I1000,"Demo Booked")+COUNTIF(Leads!I2:I1000,"Demo Done")+COUNTIF(Leads!I2:I1000,"Trial Signup")+COUNTIF(Leads!I2:I1000,"Paid")+COUNTIF(Leads!I2:I1000,"Lost")</f>
        <v/>
      </c>
    </row>
    <row r="6">
      <c r="A6" s="7" t="inlineStr">
        <is>
          <t>Reply Rate</t>
        </is>
      </c>
      <c r="B6" s="9">
        <f>IFERROR(B5/B4, 0)</f>
        <v/>
      </c>
    </row>
    <row r="7">
      <c r="A7" s="7" t="inlineStr">
        <is>
          <t>Demo Booked / Done</t>
        </is>
      </c>
      <c r="B7" s="8">
        <f>COUNTIF(Leads!I2:I1000,"Demo Booked")+COUNTIF(Leads!I2:I1000,"Demo Done")</f>
        <v/>
      </c>
    </row>
    <row r="8">
      <c r="A8" s="7" t="inlineStr">
        <is>
          <t>Trial Signup or Beyond</t>
        </is>
      </c>
      <c r="B8" s="8">
        <f>COUNTIF(Leads!I2:I1000,"Trial Signup")+COUNTIF(Leads!I2:I1000,"Paid")</f>
        <v/>
      </c>
    </row>
    <row r="9">
      <c r="A9" s="7" t="inlineStr">
        <is>
          <t>Paid Customer</t>
        </is>
      </c>
      <c r="B9" s="8">
        <f>COUNTIF(Leads!I2:I1000,"Paid")</f>
        <v/>
      </c>
    </row>
    <row r="10">
      <c r="A10" s="7" t="inlineStr">
        <is>
          <t>Total Komisi (Rp)</t>
        </is>
      </c>
      <c r="B10" s="10">
        <f>SUM(Leads!O2:O1000)</f>
        <v/>
      </c>
    </row>
    <row r="13">
      <c r="A13" s="11" t="inlineStr">
        <is>
          <t>📊 By Channel</t>
        </is>
      </c>
      <c r="B13" s="12" t="n"/>
    </row>
    <row r="14">
      <c r="A14" s="7" t="inlineStr">
        <is>
          <t>LinkedIn</t>
        </is>
      </c>
      <c r="B14" s="8">
        <f>COUNTIF(Leads!C2:C1000,"LinkedIn")</f>
        <v/>
      </c>
    </row>
    <row r="15">
      <c r="A15" s="7" t="inlineStr">
        <is>
          <t>WhatsApp</t>
        </is>
      </c>
      <c r="B15" s="8">
        <f>COUNTIF(Leads!C2:C1000,"WhatsApp")</f>
        <v/>
      </c>
    </row>
    <row r="16">
      <c r="A16" s="7" t="inlineStr">
        <is>
          <t>Email</t>
        </is>
      </c>
      <c r="B16" s="8">
        <f>COUNTIF(Leads!C2:C1000,"Email")</f>
        <v/>
      </c>
    </row>
    <row r="17">
      <c r="A17" s="7" t="inlineStr">
        <is>
          <t>Instagram DM</t>
        </is>
      </c>
      <c r="B17" s="8">
        <f>COUNTIF(Leads!C2:C1000,"Instagram DM")</f>
        <v/>
      </c>
    </row>
    <row r="18">
      <c r="A18" s="7" t="inlineStr">
        <is>
          <t>Komunitas</t>
        </is>
      </c>
      <c r="B18" s="8">
        <f>COUNTIF(Leads!C2:C1000,"Komunitas")</f>
        <v/>
      </c>
    </row>
    <row r="19">
      <c r="A19" s="7" t="inlineStr">
        <is>
          <t>Facebook Group</t>
        </is>
      </c>
      <c r="B19" s="8">
        <f>COUNTIF(Leads!C2:C1000,"Facebook Group")</f>
        <v/>
      </c>
    </row>
    <row r="20">
      <c r="A20" s="7" t="inlineStr">
        <is>
          <t>TikTok DM</t>
        </is>
      </c>
      <c r="B20" s="8">
        <f>COUNTIF(Leads!C2:C1000,"TikTok DM")</f>
        <v/>
      </c>
    </row>
    <row r="21">
      <c r="A21" s="7" t="inlineStr">
        <is>
          <t>Referral</t>
        </is>
      </c>
      <c r="B21" s="8">
        <f>COUNTIF(Leads!C2:C1000,"Referral")</f>
        <v/>
      </c>
    </row>
    <row r="23">
      <c r="A23" s="11" t="inlineStr">
        <is>
          <t>🏢 By Industri</t>
        </is>
      </c>
      <c r="B23" s="12" t="n"/>
    </row>
    <row r="24">
      <c r="A24" s="7" t="inlineStr">
        <is>
          <t>E-commerce</t>
        </is>
      </c>
      <c r="B24" s="8">
        <f>COUNTIF(Leads!F2:F1000,"E-commerce")</f>
        <v/>
      </c>
    </row>
    <row r="25">
      <c r="A25" s="7" t="inlineStr">
        <is>
          <t>SaaS</t>
        </is>
      </c>
      <c r="B25" s="8">
        <f>COUNTIF(Leads!F2:F1000,"SaaS")</f>
        <v/>
      </c>
    </row>
    <row r="26">
      <c r="A26" s="7" t="inlineStr">
        <is>
          <t>F&amp;B</t>
        </is>
      </c>
      <c r="B26" s="8">
        <f>COUNTIF(Leads!F2:F1000,"F&amp;B")</f>
        <v/>
      </c>
    </row>
    <row r="27">
      <c r="A27" s="7" t="inlineStr">
        <is>
          <t>Edu</t>
        </is>
      </c>
      <c r="B27" s="8">
        <f>COUNTIF(Leads!F2:F1000,"Edu")</f>
        <v/>
      </c>
    </row>
    <row r="28">
      <c r="A28" s="7" t="inlineStr">
        <is>
          <t>Beauty</t>
        </is>
      </c>
      <c r="B28" s="8">
        <f>COUNTIF(Leads!F2:F1000,"Beauty")</f>
        <v/>
      </c>
    </row>
    <row r="29">
      <c r="A29" s="7" t="inlineStr">
        <is>
          <t>Retail</t>
        </is>
      </c>
      <c r="B29" s="8">
        <f>COUNTIF(Leads!F2:F1000,"Retail")</f>
        <v/>
      </c>
    </row>
    <row r="30">
      <c r="A30" s="7" t="inlineStr">
        <is>
          <t>Fashion</t>
        </is>
      </c>
      <c r="B30" s="8">
        <f>COUNTIF(Leads!F2:F1000,"Fashion")</f>
        <v/>
      </c>
    </row>
    <row r="31">
      <c r="A31" s="7" t="inlineStr">
        <is>
          <t>Health</t>
        </is>
      </c>
      <c r="B31" s="8">
        <f>COUNTIF(Leads!F2:F1000,"Health")</f>
        <v/>
      </c>
    </row>
    <row r="32">
      <c r="A32" s="7" t="inlineStr">
        <is>
          <t>Travel</t>
        </is>
      </c>
      <c r="B32" s="8">
        <f>COUNTIF(Leads!F2:F1000,"Travel")</f>
        <v/>
      </c>
    </row>
    <row r="33">
      <c r="A33" s="7" t="inlineStr">
        <is>
          <t>Other</t>
        </is>
      </c>
      <c r="B33" s="8">
        <f>COUNTIF(Leads!F2:F1000,"Other")</f>
        <v/>
      </c>
    </row>
    <row r="35">
      <c r="A35" s="11" t="inlineStr">
        <is>
          <t>💰 By Plan</t>
        </is>
      </c>
      <c r="B35" s="12" t="n"/>
    </row>
    <row r="36">
      <c r="A36" s="7" t="inlineStr">
        <is>
          <t>Lite (Rp 99rb)</t>
        </is>
      </c>
      <c r="B36" s="8">
        <f>COUNTIF(Leads!N2:N1000,"Lite (Rp 99rb)")</f>
        <v/>
      </c>
    </row>
    <row r="37">
      <c r="A37" s="7" t="inlineStr">
        <is>
          <t>Pro (Rp 299rb)</t>
        </is>
      </c>
      <c r="B37" s="8">
        <f>COUNTIF(Leads!N2:N1000,"Pro (Rp 299rb)")</f>
        <v/>
      </c>
    </row>
    <row r="38">
      <c r="A38" s="7" t="inlineStr">
        <is>
          <t>Business (Rp 999rb)</t>
        </is>
      </c>
      <c r="B38" s="8">
        <f>COUNTIF(Leads!N2:N1000,"Business (Rp 999rb)")</f>
        <v/>
      </c>
    </row>
    <row r="39">
      <c r="A39" s="7" t="inlineStr">
        <is>
          <t>Custom</t>
        </is>
      </c>
      <c r="B39" s="8">
        <f>COUNTIF(Leads!N2:N1000,"Custom")</f>
        <v/>
      </c>
    </row>
    <row r="41">
      <c r="A41" s="11" t="inlineStr">
        <is>
          <t>Estimated MRR</t>
        </is>
      </c>
      <c r="B41" s="12" t="n"/>
    </row>
    <row r="42">
      <c r="A42" s="7" t="inlineStr">
        <is>
          <t>Monthly Recurring Revenue (Rp)</t>
        </is>
      </c>
      <c r="B42" s="13">
        <f>COUNTIF(Leads!N2:N1000,"Lite (Rp 99rb)")*99000+COUNTIF(Leads!N2:N1000,"Pro (Rp 299rb)")*299000+COUNTIF(Leads!N2:N1000,"Business (Rp 999rb)")*999000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2026-05-16T07:29:32Z</dcterms:created>
  <dcterms:modified xsi:type="dcterms:W3CDTF">2026-05-16T07:29:32Z</dcterms:modified>
</cp:coreProperties>
</file>